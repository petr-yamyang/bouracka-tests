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Testování\DEMO Bouračka\Test Planning\"/>
    </mc:Choice>
  </mc:AlternateContent>
  <xr:revisionPtr revIDLastSave="0" documentId="13_ncr:1_{B74D0319-C404-4D5C-B622-A30ACFA2707D}" xr6:coauthVersionLast="47" xr6:coauthVersionMax="47" xr10:uidLastSave="{00000000-0000-0000-0000-000000000000}"/>
  <bookViews>
    <workbookView xWindow="-110" yWindow="-110" windowWidth="19420" windowHeight="11500" tabRatio="500" firstSheet="1" xr2:uid="{00000000-000D-0000-FFFF-FFFF00000000}"/>
  </bookViews>
  <sheets>
    <sheet name="00_README" sheetId="1" r:id="rId1"/>
    <sheet name="00b_Requirements" sheetId="2" r:id="rId2"/>
    <sheet name="00c_VersionSanityRules" sheetId="3" r:id="rId3"/>
    <sheet name="01_TestTargets" sheetId="4" r:id="rId4"/>
    <sheet name="00e_BranchView" sheetId="5" r:id="rId5"/>
    <sheet name="01b_Req_FURPS_Cartesian" sheetId="6" r:id="rId6"/>
    <sheet name="01c_StateMachine" sheetId="7" r:id="rId7"/>
    <sheet name="02_TestCases" sheetId="8" r:id="rId8"/>
    <sheet name="02b_TC_Parameters" sheetId="9" r:id="rId9"/>
    <sheet name="02c_TC_Assertions" sheetId="10" r:id="rId10"/>
    <sheet name="02d_AssertionLibrary" sheetId="11" r:id="rId11"/>
    <sheet name="03_TestData" sheetId="12" r:id="rId12"/>
    <sheet name="05a_TestPlan" sheetId="13" r:id="rId13"/>
    <sheet name="05b_TestSchedule" sheetId="14" r:id="rId14"/>
    <sheet name="05c_TestEstimate" sheetId="15" r:id="rId15"/>
    <sheet name="04_TestEnvironments" sheetId="16" r:id="rId16"/>
    <sheet name="05_TestSets_DEPRECATED" sheetId="17" r:id="rId17"/>
    <sheet name="06_TestRuns" sheetId="18" r:id="rId18"/>
    <sheet name="07_TestRunResults" sheetId="19" r:id="rId19"/>
    <sheet name="13_TestExecutionSummary" sheetId="20" r:id="rId20"/>
    <sheet name="14_AssertionGateResults" sheetId="21" r:id="rId21"/>
    <sheet name="08_Bugs" sheetId="22" r:id="rId22"/>
    <sheet name="09_Reports" sheetId="23" r:id="rId23"/>
    <sheet name="10_Glossary" sheetId="24" r:id="rId24"/>
    <sheet name="11_Changelog" sheetId="25" r:id="rId25"/>
    <sheet name="01d_PrioritySevUrgMatrix" sheetId="26" r:id="rId26"/>
  </sheets>
  <definedNames>
    <definedName name="_xlnm._FilterDatabase" localSheetId="1" hidden="1">'00b_Requirements'!$A$1:$R$21</definedName>
    <definedName name="_xlnm._FilterDatabase" localSheetId="3" hidden="1">'01_TestTargets'!$A$1:$AM$29</definedName>
    <definedName name="_xlnm._FilterDatabase" localSheetId="7" hidden="1">'02_TestCases'!$A$1:$AM$50</definedName>
    <definedName name="_xlnm._FilterDatabase" localSheetId="21" hidden="1">'08_Bugs'!$A$1:$AB$1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3" l="1"/>
  <c r="B22" i="23"/>
  <c r="B21" i="23"/>
  <c r="B20" i="23"/>
  <c r="C15" i="23"/>
  <c r="B15" i="23"/>
  <c r="C14" i="23"/>
  <c r="B14" i="23"/>
  <c r="C13" i="23"/>
  <c r="B13" i="23"/>
  <c r="C12" i="23"/>
  <c r="B12" i="23"/>
  <c r="C7" i="23"/>
  <c r="B7" i="23"/>
  <c r="C6" i="23"/>
  <c r="B6" i="23"/>
  <c r="C5" i="23"/>
  <c r="B5" i="23"/>
  <c r="K2" i="17"/>
  <c r="K4" i="16"/>
  <c r="K3" i="16"/>
  <c r="K2" i="16"/>
  <c r="K5" i="12"/>
  <c r="K4" i="12"/>
  <c r="K3" i="12"/>
  <c r="K2" i="12"/>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K29" i="4"/>
  <c r="K28" i="4"/>
  <c r="K27" i="4"/>
  <c r="K26" i="4"/>
  <c r="K25" i="4"/>
  <c r="K24" i="4"/>
  <c r="K23" i="4"/>
  <c r="K22" i="4"/>
  <c r="K21" i="4"/>
  <c r="K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TestPlan-rev10</author>
  </authors>
  <commentList>
    <comment ref="M2" authorId="0" shapeId="0" xr:uid="{00000000-0006-0000-0100-000001000000}">
      <text>
        <r>
          <rPr>
            <sz val="11"/>
            <color theme="1"/>
            <rFont val="Calibri"/>
            <family val="2"/>
            <charset val="1"/>
          </rPr>
          <t>Static value computed from severity × urgency per 01d_PrioritySevUrgMatrix.
Fix history: rev9.1 (formula correction), rev10 (materialised to static).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TestPlan-rev10</author>
  </authors>
  <commentList>
    <comment ref="K2" authorId="0" shapeId="0" xr:uid="{00000000-0006-0000-0300-000001000000}">
      <text>
        <r>
          <rPr>
            <sz val="11"/>
            <color theme="1"/>
            <rFont val="Calibri"/>
            <family val="2"/>
            <charset val="1"/>
          </rPr>
          <t>Static value computed from severity × urgency per 01d_PrioritySevUrgMatrix.
Fix history: rev9.1 (formula correction), rev10 (materialised to static).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TestPlan-rev10</author>
  </authors>
  <commentList>
    <comment ref="N2" authorId="0" shapeId="0" xr:uid="{00000000-0006-0000-0700-000001000000}">
      <text>
        <r>
          <rPr>
            <sz val="11"/>
            <color theme="1"/>
            <rFont val="Calibri"/>
            <family val="2"/>
            <charset val="1"/>
          </rPr>
          <t>Static value computed from severity × urgency per 01d_PrioritySevUrgMatrix.
Fix history: rev9.1 (formula correction), rev10 (materialised to static).</t>
        </r>
      </text>
    </comment>
  </commentList>
</comments>
</file>

<file path=xl/sharedStrings.xml><?xml version="1.0" encoding="utf-8"?>
<sst xmlns="http://schemas.openxmlformats.org/spreadsheetml/2006/main" count="4431" uniqueCount="1572">
  <si>
    <t>Version</t>
  </si>
  <si>
    <t>Iteration</t>
  </si>
  <si>
    <t>CP-SUPIN-02 — deep public recon + Excel TestPlan v0.1 seeded</t>
  </si>
  <si>
    <t>Owner</t>
  </si>
  <si>
    <t>Petr Žemla (operator); ThinkPad Opus task-force (author)</t>
  </si>
  <si>
    <t>Created</t>
  </si>
  <si>
    <t>2026-05-05</t>
  </si>
  <si>
    <t>Methodology</t>
  </si>
  <si>
    <t>CAST-static layer; methodology-neutral (R-METH-1..4)</t>
  </si>
  <si>
    <t>Frameworks</t>
  </si>
  <si>
    <t>Cypress + Playwright primary; TestCafe fallback (per §3.3 gates)</t>
  </si>
  <si>
    <t>Envs</t>
  </si>
  <si>
    <t>TEST (tst.bouracka.cz) + DEMO (tst.demo.bouracka.cz) + public (dev-time only)</t>
  </si>
  <si>
    <t>Locale</t>
  </si>
  <si>
    <t>Czech-first (cs_CZ); English-second</t>
  </si>
  <si>
    <t>Mobile-first</t>
  </si>
  <si>
    <t>Viewport spec 320 / 375 / 414 + desktop (per AMENDMENT 2)</t>
  </si>
  <si>
    <t>Reading order</t>
  </si>
  <si>
    <t>00_README → 04_TestEnvironments → 01_TestTargets → 02_TestCases → 03_TestData → 05_TestSets → 06_TestRuns → 07_TestRunResults → 08_Bugs → 09_Reports → 10_Glossary → 11_Changelog</t>
  </si>
  <si>
    <t>Confidentiality</t>
  </si>
  <si>
    <t>Recon material gitignored on dev side per scope §7. THIS workbook is OK to commit (no client-confidential data).</t>
  </si>
  <si>
    <t>MI-M-T mapping</t>
  </si>
  <si>
    <t>Each entity sheet's columns mirror MI-M-T schema; ItemBase block is column 1..13 + 'created_at, updated_at, notes' tail.</t>
  </si>
  <si>
    <t>Priority Matrix</t>
  </si>
  <si>
    <t>Severity (A/B/C/D) × Urgency (A/B/C/D) → Priority computed in the 'priority' column per PRIORITY-MATRIX-GOVERNANCE §1.1.</t>
  </si>
  <si>
    <t>Legend</t>
  </si>
  <si>
    <t>severity / urgency</t>
  </si>
  <si>
    <t>A = Major, B = Standard, C = Minor, D = Undefined</t>
  </si>
  <si>
    <t>priority</t>
  </si>
  <si>
    <t>Computed: Sev+Urg sum → 2..3=A, 4=B, 5..6=C, any D=D</t>
  </si>
  <si>
    <t>verdict</t>
  </si>
  <si>
    <t>pass / fail / skip / blocked / partial</t>
  </si>
  <si>
    <t>decomposition_kind</t>
  </si>
  <si>
    <t>page / behaviour / component / integration / regression / smoke (R-CAST-1)</t>
  </si>
  <si>
    <t>step_kind</t>
  </si>
  <si>
    <t>control_point / trigger_point / data_collection_point / assertion (R-CAST-2)</t>
  </si>
  <si>
    <t>type</t>
  </si>
  <si>
    <t>happy / failure / regression / smoke</t>
  </si>
  <si>
    <t>R-FAIL-1</t>
  </si>
  <si>
    <t>Every happy-path scenario MUST be paired with ≥ 1 failure scenario by iteration close.</t>
  </si>
  <si>
    <t>R-STRUCT-1/2</t>
  </si>
  <si>
    <t>Replacement spec must list NEW / REPLACED / UNCHANGED. Migration ≠ duplication.</t>
  </si>
  <si>
    <t>id</t>
  </si>
  <si>
    <t>item_code</t>
  </si>
  <si>
    <t>item_name_cs</t>
  </si>
  <si>
    <t>item_name_en</t>
  </si>
  <si>
    <t>item_descr_cs</t>
  </si>
  <si>
    <t>item_descr_en</t>
  </si>
  <si>
    <t>requirement_kind</t>
  </si>
  <si>
    <t>furps_dimensions</t>
  </si>
  <si>
    <t>source_artefact_kind</t>
  </si>
  <si>
    <t>source_artefact_ref</t>
  </si>
  <si>
    <t>severity</t>
  </si>
  <si>
    <t>urgency</t>
  </si>
  <si>
    <t>submitter</t>
  </si>
  <si>
    <t>submit_date</t>
  </si>
  <si>
    <t>notes</t>
  </si>
  <si>
    <t>applies_to_demo</t>
  </si>
  <si>
    <t>applies_to_prod</t>
  </si>
  <si>
    <t>REQ-CP-001</t>
  </si>
  <si>
    <t>Brána aplikace je dostupná</t>
  </si>
  <si>
    <t>Application gateway is reachable</t>
  </si>
  <si>
    <t>Vstupní URL bouracka.cz/formular musí vrátit 2xx s render H1.</t>
  </si>
  <si>
    <t>Entry URL bouracka.cz/formular must return 2xx with rendered H1.</t>
  </si>
  <si>
    <t>functional</t>
  </si>
  <si>
    <t>F,R</t>
  </si>
  <si>
    <t>analytical_doc</t>
  </si>
  <si>
    <t>p13/133 §3.1 area A</t>
  </si>
  <si>
    <t>A</t>
  </si>
  <si>
    <t>Petr</t>
  </si>
  <si>
    <t>TRUE</t>
  </si>
  <si>
    <t>REQ-CP-002</t>
  </si>
  <si>
    <t>SMS Gateway PING před vstupem</t>
  </si>
  <si>
    <t>SMS Gateway PING before entry</t>
  </si>
  <si>
    <t>Aplikace ověří dostupnost SMS Gateway před přechodem do NEW stavu.</t>
  </si>
  <si>
    <t>App PINGs SMS Gateway before transition to NEW state.</t>
  </si>
  <si>
    <t>p25-29/133 (state machine entry)</t>
  </si>
  <si>
    <t>REQ-CP-003</t>
  </si>
  <si>
    <t>Implicitní autentizace přes ID v registrech</t>
  </si>
  <si>
    <t>Implicit ID-auth via Czech registries</t>
  </si>
  <si>
    <t>Identita účastníka se ustaví scan OP+ŘP+SPZ → AISPOV (ROB+CRR+CRV).</t>
  </si>
  <si>
    <t>Participant identity established by OP+ŘP+SPZ scan → AISPOV (ROB+CRR+CRV).</t>
  </si>
  <si>
    <t>F,S,+L</t>
  </si>
  <si>
    <t>user_direction</t>
  </si>
  <si>
    <t>2026-05-05 OQ-CP-12 closure</t>
  </si>
  <si>
    <t>REQ-CP-004</t>
  </si>
  <si>
    <t>Mobilní viewport jako jediný cíl</t>
  </si>
  <si>
    <t>Mobile-only viewport target</t>
  </si>
  <si>
    <t>Aplikace renderuje pouze pro mobilní zobrazení (320/375/414 px).</t>
  </si>
  <si>
    <t>App renders only for mobile viewports (320/375/414 px).</t>
  </si>
  <si>
    <t>non-functional</t>
  </si>
  <si>
    <t>U,+I</t>
  </si>
  <si>
    <t>p14/133 §3.2</t>
  </si>
  <si>
    <t>B</t>
  </si>
  <si>
    <t>REQ-CP-005</t>
  </si>
  <si>
    <t>CS lokalizace primárně</t>
  </si>
  <si>
    <t>CS-locale primary</t>
  </si>
  <si>
    <t>Všechny chybové hlášky a UI texty v CS, dle glosáře.</t>
  </si>
  <si>
    <t>All error messages + UI text in CS per glossary.</t>
  </si>
  <si>
    <t>U,S,+L</t>
  </si>
  <si>
    <t>scope_doc</t>
  </si>
  <si>
    <t>CLIENT-PILOT-SUPIN §C-6</t>
  </si>
  <si>
    <t>REQ-CP-006</t>
  </si>
  <si>
    <t>AISPOV ROB lookup auto-fill</t>
  </si>
  <si>
    <t>Po OCR OP aplikace volá AISPOV ROB; happy → form pre-filled.</t>
  </si>
  <si>
    <t>After OP OCR app calls AISPOV ROB; happy → form pre-filled.</t>
  </si>
  <si>
    <t>F,P</t>
  </si>
  <si>
    <t>p33-35/133</t>
  </si>
  <si>
    <t>REQ-CP-007</t>
  </si>
  <si>
    <t>AISPOV CRR lookup auto-fill</t>
  </si>
  <si>
    <t>Po ROB happy aplikace volá CRR; vrací řidičské oprávnění.</t>
  </si>
  <si>
    <t>After ROB happy app calls CRR; returns driver-license groups.</t>
  </si>
  <si>
    <t>p35/133</t>
  </si>
  <si>
    <t>REQ-CP-008</t>
  </si>
  <si>
    <t>AISPOV CRV vehicle lookup</t>
  </si>
  <si>
    <t>Po SPZ OCR aplikace volá CRV; auto-fill vozidlových dat.</t>
  </si>
  <si>
    <t>After SPZ OCR app calls CRV; auto-fill vehicle data.</t>
  </si>
  <si>
    <t>p40/133</t>
  </si>
  <si>
    <t>REQ-CP-009</t>
  </si>
  <si>
    <t>Pojišťovna lookup s STATUS=AKT filtrem</t>
  </si>
  <si>
    <t>Insurer lookup with STATUS=AKT filter</t>
  </si>
  <si>
    <t>Combobox pojišťoven nabízí pouze pojišťovny s STATUS='AKT' v číselníku.</t>
  </si>
  <si>
    <t>Insurer combobox offers only STATUS='AKT' entries from codelist.</t>
  </si>
  <si>
    <t>field_definitions</t>
  </si>
  <si>
    <t>F-104, F-108</t>
  </si>
  <si>
    <t>REQ-CP-010</t>
  </si>
  <si>
    <t>SMS-OTP podpis obou účastníků</t>
  </si>
  <si>
    <t>SMS-OTP signing by both participants</t>
  </si>
  <si>
    <t>Před přechodem do FINISHED oba účastníci podepíší přes SMS-OTP.</t>
  </si>
  <si>
    <t>Before transition to FINISHED both participants sign via SMS-OTP.</t>
  </si>
  <si>
    <t>p41-42/133 area D</t>
  </si>
  <si>
    <t>REQ-CP-011</t>
  </si>
  <si>
    <t>PDF generování + dispatch dvou e-mailů</t>
  </si>
  <si>
    <t>PDF generation + 2-email dispatch</t>
  </si>
  <si>
    <t>Po podpisu se vygeneruje PDF a odešle oběma účastníkům + pojišťovnám.</t>
  </si>
  <si>
    <t>After signing, PDF generated and dispatched to both participants + insurers.</t>
  </si>
  <si>
    <t>p42/133 area D step 12</t>
  </si>
  <si>
    <t>REQ-CP-012</t>
  </si>
  <si>
    <t>ID hlášení DN jako QR pro IZS</t>
  </si>
  <si>
    <t>Report ID as QR for IRS</t>
  </si>
  <si>
    <t>Po podpisu PDF obsahuje QR + ID hlášení DN čitelný pro IZS.</t>
  </si>
  <si>
    <t>After signing PDF contains QR + report ID readable by IRS.</t>
  </si>
  <si>
    <t>F,+L</t>
  </si>
  <si>
    <t>p21/133 §3.3.2.4</t>
  </si>
  <si>
    <t>REQ-CP-013</t>
  </si>
  <si>
    <t>Konfigurovatelné integrace skip pro tst.*</t>
  </si>
  <si>
    <t>Config-driven integration skip for tst.*</t>
  </si>
  <si>
    <t>tst.* podporuje skip_integrations flag pro vybrané integrace.</t>
  </si>
  <si>
    <t>tst.* supports skip_integrations flag for selected integrations.</t>
  </si>
  <si>
    <t>S,+I</t>
  </si>
  <si>
    <t>p25/133</t>
  </si>
  <si>
    <t>REQ-CP-014</t>
  </si>
  <si>
    <t>Outage banner s konfiguračním JSON</t>
  </si>
  <si>
    <t>Outage banner driven by config JSON</t>
  </si>
  <si>
    <t>Azure Blob outage config aktivní → banner + CTA disabled.</t>
  </si>
  <si>
    <t>Azure Blob outage config active → banner + CTA disabled.</t>
  </si>
  <si>
    <t>U,R,+L</t>
  </si>
  <si>
    <t>p23-24/133</t>
  </si>
  <si>
    <t>REQ-CP-015</t>
  </si>
  <si>
    <t>Validace polí na blur + na continue</t>
  </si>
  <si>
    <t>Field validation on blur + on continue</t>
  </si>
  <si>
    <t>Validace polí se provádí při ztrátě focusu OR při kliku continue.</t>
  </si>
  <si>
    <t>Field validation runs on focus loss OR continue-button click.</t>
  </si>
  <si>
    <t>F,U</t>
  </si>
  <si>
    <t>REQ-CP-016</t>
  </si>
  <si>
    <t>Manuální fallback vždy dostupný</t>
  </si>
  <si>
    <t>Manual fallback always available</t>
  </si>
  <si>
    <t>Pole lze vždy vyplnit manuálně bez OCR / register-lookup.</t>
  </si>
  <si>
    <t>Fields can always be filled manually without OCR / register-lookup.</t>
  </si>
  <si>
    <t>F,U,R</t>
  </si>
  <si>
    <t>REQ-CP-017</t>
  </si>
  <si>
    <t>Source-of-data tracking per pole</t>
  </si>
  <si>
    <t>data_source tracking per field</t>
  </si>
  <si>
    <t>App si pamatuje, zda pole je auto-filled, manual, nebo mixed.</t>
  </si>
  <si>
    <t>App tracks per-field whether data is auto-filled, manual, or mixed.</t>
  </si>
  <si>
    <t>REQ-CP-018</t>
  </si>
  <si>
    <t>WCAG 2.2 AA základní compliance</t>
  </si>
  <si>
    <t>WCAG 2.2 AA basic compliance</t>
  </si>
  <si>
    <t>App splňuje vnímatelnost / ovladatelnost / srozumitelnost / robustnost.</t>
  </si>
  <si>
    <t>App meets perceivability / operability / understandability / robustness.</t>
  </si>
  <si>
    <t>U,+L</t>
  </si>
  <si>
    <t>REQ-CP-019</t>
  </si>
  <si>
    <t>Browser support: Chromium ≥121, Safari ≥16</t>
  </si>
  <si>
    <t>Aplikace podporuje Chromium-based +121 a Safari +16.</t>
  </si>
  <si>
    <t>App supports Chromium-based +121 and Safari +16.</t>
  </si>
  <si>
    <t>REQ-CP-020</t>
  </si>
  <si>
    <t>Privacy: zenID neukládá OP na zařízení</t>
  </si>
  <si>
    <t>Privacy: zenID does not persist OP on device</t>
  </si>
  <si>
    <t>Při využití zenID WebSDK se OP účastníků neukládá na zařízení.</t>
  </si>
  <si>
    <t>When using zenID WebSDK OP is not persisted on participant device.</t>
  </si>
  <si>
    <t>S,+L</t>
  </si>
  <si>
    <t>Version sanity rules (must hold after every rev)</t>
  </si>
  <si>
    <t>1. 00_README!A1 must contain the current version string (e.g. "v0.3.2")</t>
  </si>
  <si>
    <t>2. 00_README!B3 must contain the full version (e.g. "v0.3.2.0")</t>
  </si>
  <si>
    <t>3. 11_Changelog!A{last} must reference the same version</t>
  </si>
  <si>
    <t>4. priority column must NOT contain formulas (use static values from MATRIX)</t>
  </si>
  <si>
    <t>5. updated_at column must equal the rev date for any row touched</t>
  </si>
  <si>
    <t>6. severity ∈ {A, B, C, D} and urgency ∈ {A, B, C, D} for every row that has both</t>
  </si>
  <si>
    <t>7. priority must equal MATRIX[severity][urgency] for every row that has sev+urg</t>
  </si>
  <si>
    <t>Validator: tools/check_priority_matrix.py + tools/validate_workbook.py</t>
  </si>
  <si>
    <t>Migration tools: tools/migrate_to_v0X.py + tools/bump_workbook_version.py</t>
  </si>
  <si>
    <t>item_type</t>
  </si>
  <si>
    <t>item_status</t>
  </si>
  <si>
    <t>release</t>
  </si>
  <si>
    <t>component_ref</t>
  </si>
  <si>
    <t>behaviour_ref</t>
  </si>
  <si>
    <t>coverage_basis</t>
  </si>
  <si>
    <t>env_coverage</t>
  </si>
  <si>
    <t>state_machine_terminal_state</t>
  </si>
  <si>
    <t>related_screen_refs</t>
  </si>
  <si>
    <t>related_flow_refs</t>
  </si>
  <si>
    <t>related_integration_refs</t>
  </si>
  <si>
    <t>created_at</t>
  </si>
  <si>
    <t>updated_at</t>
  </si>
  <si>
    <t>co_what</t>
  </si>
  <si>
    <t>kdo_who</t>
  </si>
  <si>
    <t>kdy_when</t>
  </si>
  <si>
    <t>kde_where</t>
  </si>
  <si>
    <t>jak_how</t>
  </si>
  <si>
    <t>derivation_rule</t>
  </si>
  <si>
    <t>source_artefact_author_role</t>
  </si>
  <si>
    <t>requirement_ref</t>
  </si>
  <si>
    <t>TT-CP-R1-A1</t>
  </si>
  <si>
    <t>Vstupní brána a SMS-PING (screen 01)</t>
  </si>
  <si>
    <t>Wizard entry + SMS-Gateway PING (screen 01)</t>
  </si>
  <si>
    <t>Screen 01 transition: PING SMS Gateway → pokud OK → vytvoří ID hlášení (NEW); pokud NOK → ERROR Endpage.</t>
  </si>
  <si>
    <t>Screen 01 transition: PING SMS Gateway → if OK → create report ID (NEW); if NOK → ERROR Endpage.</t>
  </si>
  <si>
    <t>test_target</t>
  </si>
  <si>
    <t>active</t>
  </si>
  <si>
    <t>R1</t>
  </si>
  <si>
    <t>behaviour</t>
  </si>
  <si>
    <t>gate-on-sms-gateway-availability</t>
  </si>
  <si>
    <t>Pre-flight gate; failure here is a hard stop (ERROR Endpage). Smallest possible R1 unit.</t>
  </si>
  <si>
    <t>TST + DMO</t>
  </si>
  <si>
    <t>NEW</t>
  </si>
  <si>
    <t>SCR-002 + SCR-017</t>
  </si>
  <si>
    <t>FLW-A1</t>
  </si>
  <si>
    <t>INT-002 SMS Gateway</t>
  </si>
  <si>
    <t>Replaces rev3 TT-CP-R1-001 (split per OQ-CP-17).</t>
  </si>
  <si>
    <t>PING SMS Gateway</t>
  </si>
  <si>
    <t>SUT before NEW transition</t>
  </si>
  <si>
    <t>screen 01 → 02</t>
  </si>
  <si>
    <t>wizard gateway entry</t>
  </si>
  <si>
    <t>auto via Mockoon mock or real N8</t>
  </si>
  <si>
    <t>p27/133 §3.1</t>
  </si>
  <si>
    <t>Pre-flight gate to verify SMS Gateway availability before issuing OTP requests.</t>
  </si>
  <si>
    <t>SUPIN</t>
  </si>
  <si>
    <t>TT-CP-R1-A2</t>
  </si>
  <si>
    <t>Ověření telefonních čísel (screen 02)</t>
  </si>
  <si>
    <t>Phone-OTP participant verification (screen 02)</t>
  </si>
  <si>
    <t>Ověření obou účastníků pomocí SMS OTP; CZ +420 / SK +421 prefix validation; konfigurovatelné limity (pokusy ověření / resend / change phone); reCaptcha; bezpečnostní DB-frequency check.</t>
  </si>
  <si>
    <t>Both participants verified via SMS OTP; CZ +420 / SK +421 prefix validation; configurable retry limits; reCaptcha; security DB-frequency check.</t>
  </si>
  <si>
    <t>verify-participants-via-otp</t>
  </si>
  <si>
    <t>State transition NEW → IN_PROGRESS_DRIVERS. Failure modes: SMS_CODE_ATTEMPTS, TELEPHONE_NUMBER_COUNT, HTTP-422 EX_CHYBA. R-FAIL-1 mandatory.</t>
  </si>
  <si>
    <t>IN_PROGRESS_DRIVERS</t>
  </si>
  <si>
    <t>SCR-018</t>
  </si>
  <si>
    <t>FLW-A2</t>
  </si>
  <si>
    <t>INT-001 reCaptcha + INT-002 SMS Gateway</t>
  </si>
  <si>
    <t>Czech mobile prefix list + SK 9-digit validated client-side.</t>
  </si>
  <si>
    <t>F,R,S</t>
  </si>
  <si>
    <t>Phone-OTP verification both participants</t>
  </si>
  <si>
    <t>user via SUT</t>
  </si>
  <si>
    <t>screen 02</t>
  </si>
  <si>
    <t>phone-input + OTP entry forms</t>
  </si>
  <si>
    <t>auto via Mockoon SEND_OTP+VALIDATE_OTP</t>
  </si>
  <si>
    <t>p27-29/133</t>
  </si>
  <si>
    <t>Both participants must be verified via SMS-OTP before app advances to IN_PROGRESS_DRIVERS.</t>
  </si>
  <si>
    <t>TT-CP-R1-B</t>
  </si>
  <si>
    <t>Načtení dat řidiče (zenID + AISPOV; screens 03–06)</t>
  </si>
  <si>
    <t>Driver data load via zenID + AISPOV (screens 03–06)</t>
  </si>
  <si>
    <t>Implicitní ID-autentizace: zenID OCR (WebSDK kamera nebo API galerie) → AISPOV (ROB + CRR) → auto-fill or editing-mode podle StatusVysledek.</t>
  </si>
  <si>
    <t>Implicit ID-auth: zenID OCR (WebSDK camera or API gallery) → AISPOV (ROB + CRR) → auto-fill or editing-mode by StatusVysledek.</t>
  </si>
  <si>
    <t>load-driver-data-from-zenid-aispov</t>
  </si>
  <si>
    <t>THE 'implicit ID-based authentication' per user direction 2026-05-05. Internal to IN_PROGRESS_DRIVERS. AISPOV call-count cap is config-limited.</t>
  </si>
  <si>
    <t>SCR-019 + SCR-020 (driver A) + SCR-021 + SCR-022 (driver N)</t>
  </si>
  <si>
    <t>FLW-B</t>
  </si>
  <si>
    <t>INT-006 + INT-007 zenID + INT-004 AISPOV + INT-008 RUIAN</t>
  </si>
  <si>
    <t>data_source annotation: zenid|aispov|manual|mixed.</t>
  </si>
  <si>
    <t>F,P,S,+L</t>
  </si>
  <si>
    <t>Driver-data load via OCR + AISPOV ROB+CRR</t>
  </si>
  <si>
    <t>user via SUT + AISPOV</t>
  </si>
  <si>
    <t>screens 03–06</t>
  </si>
  <si>
    <t>OP/ŘP scan + auto-fill form</t>
  </si>
  <si>
    <t>auto via zenID + AISPOV mocks</t>
  </si>
  <si>
    <t>p30-35/133</t>
  </si>
  <si>
    <t>Implicit ID-auth per user direction 2026-05-05 OQ-CP-12 closure.</t>
  </si>
  <si>
    <t>TT-CP-R1-C</t>
  </si>
  <si>
    <t>SPZ + údaje o vozidle (zenID + AISPOV; screens 08–11)</t>
  </si>
  <si>
    <t>SPZ + vehicle data load via zenID + AISPOV (screens 08–11)</t>
  </si>
  <si>
    <t>zenID SPZ scan → confirmation popup → AISPOV (vehicle + insurance) → auto-fill or editing-mode. Damage marking + collision-position photos.</t>
  </si>
  <si>
    <t>load-vehicle-data-from-zenid-aispov</t>
  </si>
  <si>
    <t>State transition IN_PROGRESS_VEHICLES → IN_PROGRESS_CIRCUMSTANCES. SPZ irreversible once OCR'd.</t>
  </si>
  <si>
    <t>IN_PROGRESS_CIRCUMSTANCES</t>
  </si>
  <si>
    <t>SCR-023 + SCR-024</t>
  </si>
  <si>
    <t>FLW-C</t>
  </si>
  <si>
    <t>INT-006 + INT-007 zenID + INT-004 AISPOV</t>
  </si>
  <si>
    <t>Photo limits config-driven: SPZ=1; damage+collision share max-N minus 1.</t>
  </si>
  <si>
    <t>Vehicle data load via SPZ scan + AISPOV CRV</t>
  </si>
  <si>
    <t>screens 08–11</t>
  </si>
  <si>
    <t>SPZ scan + vehicle form</t>
  </si>
  <si>
    <t>p36-40/133</t>
  </si>
  <si>
    <t>Vehicle identity via SPZ → CRV; insurance via Evidence pojištěných vozidel.</t>
  </si>
  <si>
    <t>TT-CP-R1-D</t>
  </si>
  <si>
    <t>Okolnosti, datum, místo, viník, souhrn, podpis (screens 12–18)</t>
  </si>
  <si>
    <t>Circumstances, date/time, location, fault, summary, sign (screens 12–18)</t>
  </si>
  <si>
    <t>Popis okolností; geolokace + manuální adresa; určení viníka; souhrn; SMS-OTP podpis obou řidičů; PDF + e-mail dispatch.</t>
  </si>
  <si>
    <t>Circumstances; geocode/manual address; fault determination; summary; SMS-OTP both-driver signing; PDF + e-mail dispatch.</t>
  </si>
  <si>
    <t>complete-circumstances-and-sign</t>
  </si>
  <si>
    <t>State transitions IN_PROGRESS_CIRCUMSTANCES → TO_SIGN → FINISHED. Closes the report; produces PDF + sends 2 e-mails.</t>
  </si>
  <si>
    <t>FINISHED</t>
  </si>
  <si>
    <t>SCR-025..SCR-031</t>
  </si>
  <si>
    <t>FLW-D</t>
  </si>
  <si>
    <t>INT-002 SMS sign + INT-003 SMTP + INT-005 Maps</t>
  </si>
  <si>
    <t>OTP exhaustion at sign step → ERROR; submit timeout → recoverable retry.</t>
  </si>
  <si>
    <t>F,U,R,S,+L</t>
  </si>
  <si>
    <t>Circumstances + sign + complete</t>
  </si>
  <si>
    <t>both participants via SMS-OTP</t>
  </si>
  <si>
    <t>screens 12–18</t>
  </si>
  <si>
    <t>summary + signing + dispatch</t>
  </si>
  <si>
    <t>auto via maps/RUIAN mocks + SMS sign + SMTP</t>
  </si>
  <si>
    <t>p40-42/133</t>
  </si>
  <si>
    <t>Closing sequence transitions IN_PROGRESS_CIRCUMSTANCES → TO_SIGN → FINISHED.</t>
  </si>
  <si>
    <t>TT-CP-R1-E</t>
  </si>
  <si>
    <t>End-to-end orchestrace (cross-area)</t>
  </si>
  <si>
    <t>End-to-end happy orchestration (cross-area)</t>
  </si>
  <si>
    <t>Plný happy průchod od NEW přes všechny stavy do FINISHED, validuje cross-area integrace + state-machine progression.</t>
  </si>
  <si>
    <t>Full happy run NEW → FINISHED across all areas; validates cross-area integration + state-machine progression.</t>
  </si>
  <si>
    <t>submit-traffic-accident-record-end-to-end</t>
  </si>
  <si>
    <t>Catches integration-orchestration regressions (e.g. TT-CP-R1-A2 + B work in isolation but fail together).</t>
  </si>
  <si>
    <t>SCR-002..SCR-031</t>
  </si>
  <si>
    <t>FLW-E</t>
  </si>
  <si>
    <t>INT-001..INT-010 (all)</t>
  </si>
  <si>
    <t>Single TC suffices; expensive but high-value sentinel.</t>
  </si>
  <si>
    <t>End-to-end happy orchestration</t>
  </si>
  <si>
    <t>both participants</t>
  </si>
  <si>
    <t>full wizard NEW → FINISHED</t>
  </si>
  <si>
    <t>all screens</t>
  </si>
  <si>
    <t>auto cross-area</t>
  </si>
  <si>
    <t>state_machine</t>
  </si>
  <si>
    <t>accidentReportStatus full traversal</t>
  </si>
  <si>
    <t>Catches integration-orchestration regressions across all areas.</t>
  </si>
  <si>
    <t>ThinkPad</t>
  </si>
  <si>
    <t>TT-CP-R1-F</t>
  </si>
  <si>
    <t>Obálka chyb a ukončení (cross-area)</t>
  </si>
  <si>
    <t>Failure + termination envelope (cross-area)</t>
  </si>
  <si>
    <t>Recoverable retries (OTP retry, OCR retry, server timeout) + irrecoverable terminations (eligibility, OTP exhaustion, mid-wizard interlock self-disclosure, outage active).</t>
  </si>
  <si>
    <t>Recoverable retries + irrecoverable terminations across the wizard.</t>
  </si>
  <si>
    <t>handle-wizard-exceptions-and-terminations</t>
  </si>
  <si>
    <t>Pairs cross-area failure modes with happy peers per R-FAIL-1.</t>
  </si>
  <si>
    <t>ERROR (with sub-reasons)</t>
  </si>
  <si>
    <t>SCR-002 + SCR-015 + SCR-018</t>
  </si>
  <si>
    <t>FLW-F</t>
  </si>
  <si>
    <t>INT-002 + INT-004 + INT-009</t>
  </si>
  <si>
    <t>Includes outage-active and Azure Blob config error paths.</t>
  </si>
  <si>
    <t>F,R,S,+L</t>
  </si>
  <si>
    <t>Failure envelope cross-area</t>
  </si>
  <si>
    <t>various</t>
  </si>
  <si>
    <t>any state</t>
  </si>
  <si>
    <t>any screen</t>
  </si>
  <si>
    <t>auto with fault injection</t>
  </si>
  <si>
    <t>ERROR sub-reasons</t>
  </si>
  <si>
    <t>Pairs with happy peers per R-FAIL-1; covers OUTAGE_ACTIVE, ELIGIBILITY_INTERLOCK, PING_NOK.</t>
  </si>
  <si>
    <t>TT-CP-R2-COOKIE</t>
  </si>
  <si>
    <t>Cookies banner first-visit</t>
  </si>
  <si>
    <t>Cross-cutting first-visit smoke; reject-all branch.</t>
  </si>
  <si>
    <t>First-visit smoke; reject-all path.</t>
  </si>
  <si>
    <t>draft</t>
  </si>
  <si>
    <t>C</t>
  </si>
  <si>
    <t>R2</t>
  </si>
  <si>
    <t>component</t>
  </si>
  <si>
    <t>cookie-banner</t>
  </si>
  <si>
    <t>GDPR compliance smoke; not in R1 envelope.</t>
  </si>
  <si>
    <t>TST + DMO + PUB(dev)</t>
  </si>
  <si>
    <t>n/a</t>
  </si>
  <si>
    <t>SCR-016</t>
  </si>
  <si>
    <t>INT-010 GA</t>
  </si>
  <si>
    <t>Identified for later.</t>
  </si>
  <si>
    <t>F</t>
  </si>
  <si>
    <t>(R2 — to define)</t>
  </si>
  <si>
    <t>(R2)</t>
  </si>
  <si>
    <t>deferred per OQ-CP-OREV-05</t>
  </si>
  <si>
    <t>R2 deferred — full provenance authored when promoted to R1.</t>
  </si>
  <si>
    <t>TT-CP-R2-OUTAGE-WARN</t>
  </si>
  <si>
    <t>Plánovaná odstávka (žlutý box)</t>
  </si>
  <si>
    <t>Planned outage (yellow box)</t>
  </si>
  <si>
    <t>Pre-outage warning rendered v rámci `from − warning_before_hours .. from`.</t>
  </si>
  <si>
    <t>Pre-outage warning in `from − warning_before_hours .. from` window.</t>
  </si>
  <si>
    <t>render-planned-outage-warning</t>
  </si>
  <si>
    <t>Separate from R1-F outage-active (which disables CTA). This is the warning state.</t>
  </si>
  <si>
    <t>SCR-002</t>
  </si>
  <si>
    <t>INT-009 Azure Blob outage</t>
  </si>
  <si>
    <t>Clock-mock or fixture-time required to test reliably.</t>
  </si>
  <si>
    <t>TT-CP-R2-SHARED</t>
  </si>
  <si>
    <t>Sdílený záznam (link/QR pro účastníka N)</t>
  </si>
  <si>
    <t>Shared record (link/QR for participant N)</t>
  </si>
  <si>
    <t>Generated on screen 15; default 60 min lifetime; review-only; PDF download; expired-link UX.</t>
  </si>
  <si>
    <t>Generated on screen 15; default 60 min; review-only; PDF download; expired-link UX.</t>
  </si>
  <si>
    <t>share-record-with-participant-n</t>
  </si>
  <si>
    <t>Cross-device wizard handoff; secondary to R1.</t>
  </si>
  <si>
    <t>TO_SIGN | FINISHED | CANCEL | ERROR</t>
  </si>
  <si>
    <t>SCR-014</t>
  </si>
  <si>
    <t>TT-CP-R2-MENU</t>
  </si>
  <si>
    <t>In-app menu (sidebar/hamburger)</t>
  </si>
  <si>
    <t>In-app sidebar/hamburger menu</t>
  </si>
  <si>
    <t>Section progression — sections become clickable as user fills them; Začít znovu confirmation logic.</t>
  </si>
  <si>
    <t>Section progression; Začít znovu confirmation.</t>
  </si>
  <si>
    <t>wizard-sidebar-menu</t>
  </si>
  <si>
    <t>Navigation correctness across state machine; secondary to R1.</t>
  </si>
  <si>
    <t>any</t>
  </si>
  <si>
    <t>SCR-013</t>
  </si>
  <si>
    <t>TT-CP-R2-FAQ</t>
  </si>
  <si>
    <t>FAQ — taxonomie a obsah</t>
  </si>
  <si>
    <t>FAQ — taxonomy + content</t>
  </si>
  <si>
    <t>/faq accordion smoke; 6 categories.</t>
  </si>
  <si>
    <t>page</t>
  </si>
  <si>
    <t>faq-page</t>
  </si>
  <si>
    <t>browse-faq-content</t>
  </si>
  <si>
    <t>Cheap CMS sentinel.</t>
  </si>
  <si>
    <t>SCR-003</t>
  </si>
  <si>
    <t>FLW-005</t>
  </si>
  <si>
    <t>Was rev3 TT-CP-R2-003.</t>
  </si>
  <si>
    <t>TT-CP-R2-LANDING</t>
  </si>
  <si>
    <t>Landing — marketing surface</t>
  </si>
  <si>
    <t>Landing page smoke; primary CTA destination.</t>
  </si>
  <si>
    <t>Landing page smoke.</t>
  </si>
  <si>
    <t>D</t>
  </si>
  <si>
    <t>landing-page-with-hero</t>
  </si>
  <si>
    <t>browse-product-information</t>
  </si>
  <si>
    <t>Cheap CMS sentinel; pre-ID-auth surface.</t>
  </si>
  <si>
    <t>SCR-001</t>
  </si>
  <si>
    <t>INT-009 + INT-010</t>
  </si>
  <si>
    <t>Was rev3 TT-CP-R2-005.</t>
  </si>
  <si>
    <t>TT-CP-R2-HEADER</t>
  </si>
  <si>
    <t>Záhlaví / hamburger cross-page</t>
  </si>
  <si>
    <t>Header / hamburger cross-page</t>
  </si>
  <si>
    <t>Persistent UI surface across all pages; mobile-first viewport sweep.</t>
  </si>
  <si>
    <t>Persistent UI; mobile-first sweep.</t>
  </si>
  <si>
    <t>site-header-with-hamburger-and-cta</t>
  </si>
  <si>
    <t>WCAG touch-target sentinel.</t>
  </si>
  <si>
    <t>SCR-004</t>
  </si>
  <si>
    <t>Was rev3 TT-CP-R2-004.</t>
  </si>
  <si>
    <t>TT-CP-R2-GDPR</t>
  </si>
  <si>
    <t>GDPR / personal-data stránka</t>
  </si>
  <si>
    <t>GDPR / personal-data page</t>
  </si>
  <si>
    <t>/formular/personal-data static page.</t>
  </si>
  <si>
    <t>Static doc page; smoke postačí.</t>
  </si>
  <si>
    <t>formular-personal-data-page</t>
  </si>
  <si>
    <t>Static GDPR document.</t>
  </si>
  <si>
    <t>SCR-005</t>
  </si>
  <si>
    <t>Was rev3 TT-CP-R2-006.</t>
  </si>
  <si>
    <t>TT-CP-R2-WITNESS</t>
  </si>
  <si>
    <t>Svědci nehody (screen 07)</t>
  </si>
  <si>
    <t>Witnesses (screen 07)</t>
  </si>
  <si>
    <t>Optional witness add; passenger-marking; witness CRUD.</t>
  </si>
  <si>
    <t>Witness add; passenger marking.</t>
  </si>
  <si>
    <t>manage-witnesses</t>
  </si>
  <si>
    <t>Internal to IN_PROGRESS_DRIVERS → IN_PROGRESS_VEHICLES; mid-wizard but optional, hence R2.</t>
  </si>
  <si>
    <t>IN_PROGRESS_VEHICLES</t>
  </si>
  <si>
    <t>SCR-027</t>
  </si>
  <si>
    <t>Could promote to R1 if business demands.</t>
  </si>
  <si>
    <t>TT-CP-R2-DEMO-RELAX</t>
  </si>
  <si>
    <t>DEMO env redukovaná validace</t>
  </si>
  <si>
    <t>DEMO env relaxed validation</t>
  </si>
  <si>
    <t>Per scope C-5 — DEMO env vs TST env divergences (e.g. SPZ format, location bounds, OTP fixed=0000).</t>
  </si>
  <si>
    <t>Per scope C-5 — DEMO env vs TST env validation deltas.</t>
  </si>
  <si>
    <t>compare-tst-vs-demo-validation</t>
  </si>
  <si>
    <t>Cross-cutting; R2 because depth pending tst.* recon.</t>
  </si>
  <si>
    <t>DMO (vs TST baseline)</t>
  </si>
  <si>
    <t>all R1 SCR-NNN</t>
  </si>
  <si>
    <t>all integrations</t>
  </si>
  <si>
    <t>Bridges R1 + DEMO posture; lands once tst-demo recon arrives.</t>
  </si>
  <si>
    <t>FALSE</t>
  </si>
  <si>
    <t>TT-CP-R2-VEHICLE-N</t>
  </si>
  <si>
    <t>Vozidlo N (screens 10–11)</t>
  </si>
  <si>
    <t>Vehicle N (screens 10–11)</t>
  </si>
  <si>
    <t>Replication of TT-CP-R1-C for second vehicle (participant N).</t>
  </si>
  <si>
    <t>Replicates vehicle-data-load behaviour for participant N.</t>
  </si>
  <si>
    <t>load-vehicle-data-for-participant-n</t>
  </si>
  <si>
    <t>Subset of TT-CP-R1-C iteration; could be folded into TC-CP-018 E2E.</t>
  </si>
  <si>
    <t>SCR-023b + SCR-024b</t>
  </si>
  <si>
    <t>INT-006 + INT-007 + INT-004</t>
  </si>
  <si>
    <t>Identified; depth covered by TC-CP-018 cross-area orchestration.</t>
  </si>
  <si>
    <t>TT-CP-PHASE0</t>
  </si>
  <si>
    <t>Rozcestník + safety guidance</t>
  </si>
  <si>
    <t>Gateway page + safety guidance</t>
  </si>
  <si>
    <t>endpoints: (none — static SPA shell + outage feed INT-006) | screens: /formular/ rozcestník</t>
  </si>
  <si>
    <t>TT-CP-PHASE-A</t>
  </si>
  <si>
    <t>Pre-wizard intro</t>
  </si>
  <si>
    <t>endpoints: POST /api/reports | screens: /formular/informations</t>
  </si>
  <si>
    <t>TT-CP-PHASE1</t>
  </si>
  <si>
    <t>Phone verification (OTP rounds)</t>
  </si>
  <si>
    <t>Phone verification</t>
  </si>
  <si>
    <t>endpoints: PUT /reporter, POST /participants, POST /sendCodeToVerify, POST /verify, GET /participantsInVerification | screens: /verification + /verification/success</t>
  </si>
  <si>
    <t>TT-CP-PHASE2</t>
  </si>
  <si>
    <t>Documents per participant (OP+ŘP+address+email)</t>
  </si>
  <si>
    <t>Documents per participant</t>
  </si>
  <si>
    <t>endpoints: PUT /participantData, /email, /drivingLicense/update + RUIAN INT-009 | screens: /documents/{p}/{...}/manual /recap</t>
  </si>
  <si>
    <t>TT-CP-PHASE2.5</t>
  </si>
  <si>
    <t>Witnesses (optional)</t>
  </si>
  <si>
    <t>Witnesses</t>
  </si>
  <si>
    <t>endpoints: GET /witnesses (POST/PUT TBC) | screens: /witness</t>
  </si>
  <si>
    <t>TT-CP-PHASE3-PER</t>
  </si>
  <si>
    <t>Per-participant accident details</t>
  </si>
  <si>
    <t>endpoints: PUT damage, movementDefinition, vehicle, insurer + GET enumerations | screens: /accident/{p}/[damage|damage/movement|damage/data]</t>
  </si>
  <si>
    <t>TT-CP-PHASE3-SH</t>
  </si>
  <si>
    <t>Shared circumstances + place</t>
  </si>
  <si>
    <t>endpoints: PUT circumstances, datetime, location, responsibleParticipant + INT-009 + INT-007 | screens: /accident/circumstances /situation /situation/location /culprit</t>
  </si>
  <si>
    <t>TT-CP-PHASE4</t>
  </si>
  <si>
    <t>Sign + submit (dual SMS)</t>
  </si>
  <si>
    <t>Sign + submit</t>
  </si>
  <si>
    <t>endpoints: POST /confirmation, /sendCodeToSign, /sign + GET /summaryId | screens: /summary /sign-report /success</t>
  </si>
  <si>
    <t>TT-CP-IDENTIFIER</t>
  </si>
  <si>
    <t>Identifikační kód for Police/IZS</t>
  </si>
  <si>
    <t>endpoints: (rendered from report state — drives police on-scene lookup) | screens: (persistent modal across all post-Phase-1 routes)</t>
  </si>
  <si>
    <t>TT-CP-CODELISTS</t>
  </si>
  <si>
    <t>Codelist API surface</t>
  </si>
  <si>
    <t>endpoints: GET /api/enumerations/* (selective public access) | screens: (used internally by Phase 2 + 3)</t>
  </si>
  <si>
    <t>Branched master view — Bouračka (PROD) vs DEMO Bouračka</t>
  </si>
  <si>
    <t>Architecture</t>
  </si>
  <si>
    <t>Single master workbook — switch view via AutoFilter on applies_to_demo / applies_to_prod columns.</t>
  </si>
  <si>
    <t>Both branches share the same TestTargets / TestCases where env_constraints = "both" or "both-with-adapter".</t>
  </si>
  <si>
    <t>Rows specific to one branch are tagged via env_constraints (demo-only / prod-only).</t>
  </si>
  <si>
    <t>Counts per branch (entries with applies_to_X = TRUE)</t>
  </si>
  <si>
    <t>Sheet</t>
  </si>
  <si>
    <t>Total rows</t>
  </si>
  <si>
    <t>DEMO branch</t>
  </si>
  <si>
    <t>PROD branch</t>
  </si>
  <si>
    <t>DEMO-only</t>
  </si>
  <si>
    <t>PROD-only</t>
  </si>
  <si>
    <t>Both</t>
  </si>
  <si>
    <t>00b_Requirements</t>
  </si>
  <si>
    <t>01_TestTargets</t>
  </si>
  <si>
    <t>02_TestCases</t>
  </si>
  <si>
    <t>08_Bugs</t>
  </si>
  <si>
    <t>TOTAL</t>
  </si>
  <si>
    <t>Jak přepnout pohled (CS)</t>
  </si>
  <si>
    <t>1. Otevřete list (např. 02_TestCases).</t>
  </si>
  <si>
    <t>2. Klikněte na šipku AutoFilter v záhlaví sloupce `applies_to_demo`.</t>
  </si>
  <si>
    <t>3. Pro pohled "DEMO branch only" — zaškrtněte JEN TRUE.</t>
  </si>
  <si>
    <t>4. Pro pohled "PROD branch only" — udělejte stejné na sloupci `applies_to_prod`.</t>
  </si>
  <si>
    <t>5. Pro reset (zobrazit vše) — klikněte na šipku → "Vymazat filtr z..."</t>
  </si>
  <si>
    <t>Tip — pro rychlé přepnutí lze definovat Excel makro / VBA proceduru,</t>
  </si>
  <si>
    <t>která nastaví filtr na jednom místě a aplikuje napříč všemi listy.</t>
  </si>
  <si>
    <t>Vzor makra je v `_install/EXCEL-MACRO-BRANCH-FILTER.bas` (po roll-out).</t>
  </si>
  <si>
    <t>Sloupec env_constraints — co znamenají hodnoty (jen 02_TestCases)</t>
  </si>
  <si>
    <t>`both`              — TC běží na obou branchech identicky (DEMO i PROD)</t>
  </si>
  <si>
    <t>`both-with-adapter` — TC běží na obou, na PROD s Mockoon / N8 sandbox adaptérem</t>
  </si>
  <si>
    <t>`demo-only`         — TC vyžaduje DEMO chování (např. mock OTP); na PROD nemá smysl</t>
  </si>
  <si>
    <t>`prod-only`         — TC vyžaduje reálné integrace; na DEMO by produkoval false signal</t>
  </si>
  <si>
    <t>furps_dimension</t>
  </si>
  <si>
    <t>cell_status</t>
  </si>
  <si>
    <t>na_justification</t>
  </si>
  <si>
    <t>scheduling_unit_kind</t>
  </si>
  <si>
    <t>expected_tc_count</t>
  </si>
  <si>
    <t>iteration</t>
  </si>
  <si>
    <t>U</t>
  </si>
  <si>
    <t>pending</t>
  </si>
  <si>
    <t>R</t>
  </si>
  <si>
    <t>P</t>
  </si>
  <si>
    <t>S</t>
  </si>
  <si>
    <t>+D</t>
  </si>
  <si>
    <t>+I</t>
  </si>
  <si>
    <t>+N</t>
  </si>
  <si>
    <t>+L</t>
  </si>
  <si>
    <t>+P_phys</t>
  </si>
  <si>
    <t>na</t>
  </si>
  <si>
    <t>+P_phys (physical-hardware constraints) N/A for web SUT</t>
  </si>
  <si>
    <t>none</t>
  </si>
  <si>
    <t>kind</t>
  </si>
  <si>
    <t>name</t>
  </si>
  <si>
    <t>description_cs</t>
  </si>
  <si>
    <t>from_state</t>
  </si>
  <si>
    <t>to_state</t>
  </si>
  <si>
    <t>trigger</t>
  </si>
  <si>
    <t>integrations_invoked</t>
  </si>
  <si>
    <t>error_subreason</t>
  </si>
  <si>
    <t>related_tt_refs</t>
  </si>
  <si>
    <t>related_screen</t>
  </si>
  <si>
    <t>state</t>
  </si>
  <si>
    <t>Nový — ID hlášení založeno</t>
  </si>
  <si>
    <t>p27/133</t>
  </si>
  <si>
    <t>Rozpracováno — řidiči</t>
  </si>
  <si>
    <t>p27-35/133</t>
  </si>
  <si>
    <t>Rozpracováno — vozidla</t>
  </si>
  <si>
    <t>p35-40/133</t>
  </si>
  <si>
    <t>Rozpracováno — okolnosti</t>
  </si>
  <si>
    <t>p40+/133</t>
  </si>
  <si>
    <t>TO_SIGN</t>
  </si>
  <si>
    <t>K podpisu — souhrn</t>
  </si>
  <si>
    <t>p41/133</t>
  </si>
  <si>
    <t>Dokončeno — PDF odeslán</t>
  </si>
  <si>
    <t>p42/133</t>
  </si>
  <si>
    <t>CANCEL</t>
  </si>
  <si>
    <t>Zrušeno — user-abort</t>
  </si>
  <si>
    <t>menu Začít znovu</t>
  </si>
  <si>
    <t>ERROR</t>
  </si>
  <si>
    <t>Chyba — system-failure (sub-reason)</t>
  </si>
  <si>
    <t>různé</t>
  </si>
  <si>
    <t>transition</t>
  </si>
  <si>
    <t>PING_OK</t>
  </si>
  <si>
    <t>INT-002 SMS Gateway PING happy</t>
  </si>
  <si>
    <t>(none)</t>
  </si>
  <si>
    <t>INT-002</t>
  </si>
  <si>
    <t>01_Potvrzení</t>
  </si>
  <si>
    <t>PING_NOK</t>
  </si>
  <si>
    <t>INT-002 PING NOK</t>
  </si>
  <si>
    <t>smsGatewayUnavailable</t>
  </si>
  <si>
    <t>OTP_SENT_VERIFIED</t>
  </si>
  <si>
    <t>Both phones verified</t>
  </si>
  <si>
    <t>02_Ověření</t>
  </si>
  <si>
    <t>DRIVERS_CONFIRMED</t>
  </si>
  <si>
    <t>All drivers' identity loaded</t>
  </si>
  <si>
    <t>INT-006/007/004</t>
  </si>
  <si>
    <t>03-06</t>
  </si>
  <si>
    <t>VEHICLES_CONFIRMED</t>
  </si>
  <si>
    <t>All vehicles' SPZ scanned + AISPOV happy</t>
  </si>
  <si>
    <t>08-11</t>
  </si>
  <si>
    <t>CIRCUMSTANCES_FILLED</t>
  </si>
  <si>
    <t>User confirmed summary</t>
  </si>
  <si>
    <t>INT-005/008</t>
  </si>
  <si>
    <t>12-15</t>
  </si>
  <si>
    <t>SIGNED</t>
  </si>
  <si>
    <t>Both participants SMS-OTP signed</t>
  </si>
  <si>
    <t>INT-002,003</t>
  </si>
  <si>
    <t>16-17</t>
  </si>
  <si>
    <t>SMS_CODE_ATTEMPTS</t>
  </si>
  <si>
    <t>OTP retry exhaustion</t>
  </si>
  <si>
    <t>(any IN_PROGRESS_*)</t>
  </si>
  <si>
    <t>02</t>
  </si>
  <si>
    <t>TELEPHONE_NUMBER_COUNT</t>
  </si>
  <si>
    <t>DB security: phone overused</t>
  </si>
  <si>
    <t>(during phone verify)</t>
  </si>
  <si>
    <t>(internal)</t>
  </si>
  <si>
    <t>AISPOV_ROB_NENALEZENO</t>
  </si>
  <si>
    <t>ROB lookup not-found</t>
  </si>
  <si>
    <t>(during driver-data load)</t>
  </si>
  <si>
    <t>(stays in IN_PROGRESS_DRIVERS)</t>
  </si>
  <si>
    <t>INT-004</t>
  </si>
  <si>
    <t>04/06</t>
  </si>
  <si>
    <t>USER_CANCELS</t>
  </si>
  <si>
    <t>User clicked Začít znovu + confirm</t>
  </si>
  <si>
    <t>menu</t>
  </si>
  <si>
    <t>OUTAGE_ACTIVE</t>
  </si>
  <si>
    <t>Azure Blob outage config active</t>
  </si>
  <si>
    <t>(at gateway D00)</t>
  </si>
  <si>
    <t>(no transition; CTA disabled)</t>
  </si>
  <si>
    <t>INT-009</t>
  </si>
  <si>
    <t>D00</t>
  </si>
  <si>
    <t>test_target_ref</t>
  </si>
  <si>
    <t>preconditions</t>
  </si>
  <si>
    <t>steps_summary</t>
  </si>
  <si>
    <t>expected_summary</t>
  </si>
  <si>
    <t>postconditions</t>
  </si>
  <si>
    <t>viewport_spec</t>
  </si>
  <si>
    <t>framework_targets</t>
  </si>
  <si>
    <t>state_error_subreason</t>
  </si>
  <si>
    <t>dev_spec_path</t>
  </si>
  <si>
    <t>last_run_date</t>
  </si>
  <si>
    <t>last_run_verdict</t>
  </si>
  <si>
    <t>impulse_ref</t>
  </si>
  <si>
    <t>diligence</t>
  </si>
  <si>
    <t>env_constraints</t>
  </si>
  <si>
    <t>TC-CP-001</t>
  </si>
  <si>
    <t>PING SMS Gateway — happy</t>
  </si>
  <si>
    <t>Po stisku 'pokračovat' na screen 01: PING vrátí OK → vytvoří se ID hlášení (NEW) → přechod na screen 02.</t>
  </si>
  <si>
    <t>On 'continue' from screen 01: PING returns OK → report ID created (NEW) → advance to screen 02.</t>
  </si>
  <si>
    <t>test_case</t>
  </si>
  <si>
    <t>happy</t>
  </si>
  <si>
    <t>fresh browser; CS locale; tst.* reachable; reCAPTCHA bypass set</t>
  </si>
  <si>
    <t>see SPEC.md (deferred)</t>
  </si>
  <si>
    <t>see SPEC.md</t>
  </si>
  <si>
    <t>no record persisted unless terminal state = FINISHED</t>
  </si>
  <si>
    <t>320 / 375 / 414</t>
  </si>
  <si>
    <t>playwright; cypress</t>
  </si>
  <si>
    <t>specs/TC-CP-001-SPEC.md (rev pending)</t>
  </si>
  <si>
    <t>Replaces rev3 TC-CP-001 (was wizard-entry smoke; now PING gate per analytical doc).</t>
  </si>
  <si>
    <t>D01_step_PING</t>
  </si>
  <si>
    <t>TC-CP-002</t>
  </si>
  <si>
    <t>PING SMS Gateway — NOK (Endpage)</t>
  </si>
  <si>
    <t>Mock SMS Gateway PING NOK → ERROR Endpage zobrazena → no advance, no state change.</t>
  </si>
  <si>
    <t>Mock SMS Gateway PING NOK → ERROR Endpage shown → no advance, no state change.</t>
  </si>
  <si>
    <t>failure</t>
  </si>
  <si>
    <t>specs/TC-CP-002-SPEC.md (rev pending)</t>
  </si>
  <si>
    <t>Pairs with TC-CP-001 per R-FAIL-1.</t>
  </si>
  <si>
    <t>negative</t>
  </si>
  <si>
    <t>TC-CP-003</t>
  </si>
  <si>
    <t>Ověření telefonu — happy oba účastníci</t>
  </si>
  <si>
    <t>Phone-OTP — happy both participants</t>
  </si>
  <si>
    <t>Účastník A: zadá CZ +420 9-digit číslo → OTP přijde → potvrdí. Účastník N: stejně. → IN_PROGRESS_DRIVERS.</t>
  </si>
  <si>
    <t>Driver A: enters CZ +420 9-digit number → OTP arrives → verified. Driver N: same. → IN_PROGRESS_DRIVERS.</t>
  </si>
  <si>
    <t>specs/TC-CP-003-SPEC.md (rev pending)</t>
  </si>
  <si>
    <t>Tightens rev3 TC-CP-003 to phone-OTP only (was full wizard E2E).</t>
  </si>
  <si>
    <t>D02_step_OTP_verify</t>
  </si>
  <si>
    <t>TC-CP-004</t>
  </si>
  <si>
    <t>OTP — vyčerpání pokusů (SMS_CODE_ATTEMPTS)</t>
  </si>
  <si>
    <t>OTP — attempts exhausted (SMS_CODE_ATTEMPTS)</t>
  </si>
  <si>
    <t>Třikrát zadej špatný OTP → překročení limitu → ERROR Endpage; accidentReportStatus=ERROR/SMS_CODE_ATTEMPTS.</t>
  </si>
  <si>
    <t>Three wrong OTPs → limit exceeded → ERROR Endpage; accidentReportStatus=ERROR/SMS_CODE_ATTEMPTS.</t>
  </si>
  <si>
    <t>specs/TC-CP-004-SPEC.md (rev pending)</t>
  </si>
  <si>
    <t>Pairs with TC-CP-003.</t>
  </si>
  <si>
    <t>D02_step_OTP_attempts</t>
  </si>
  <si>
    <t>TC-CP-005</t>
  </si>
  <si>
    <t>Telefonní číslo nadužíváno (TELEPHONE_NUMBER_COUNT)</t>
  </si>
  <si>
    <t>Phone number overused (TELEPHONE_NUMBER_COUNT)</t>
  </si>
  <si>
    <t>Použij číslo, které je v DB vícekrát než config-limit → ERROR Endpage; subreason=TELEPHONE_NUMBER_COUNT.</t>
  </si>
  <si>
    <t>Use a number present in DB more than the config limit → ERROR Endpage; subreason=TELEPHONE_NUMBER_COUNT.</t>
  </si>
  <si>
    <t>specs/TC-CP-005-SPEC.md (skeleton)</t>
  </si>
  <si>
    <t>Security check; needs DB-seed fixture.</t>
  </si>
  <si>
    <t>D02_step_OTP_send</t>
  </si>
  <si>
    <t>TC-CP-006</t>
  </si>
  <si>
    <t>SMS Gateway HTTP 422 EX_CHYBA</t>
  </si>
  <si>
    <t>Mock SMS Gateway → 422 + 'N8/2025/01: EX_CHYBA_TELCISLA_NEBO_SMSTEXTU' → inline error pod polem; no advance.</t>
  </si>
  <si>
    <t>Mock SMS Gateway → 422 + 'EX_CHYBA' → inline error under field; no advance.</t>
  </si>
  <si>
    <t>EX_CHYBA</t>
  </si>
  <si>
    <t>specs/TC-CP-006-SPEC.md (skeleton)</t>
  </si>
  <si>
    <t>Inline-error path; not a state-machine ERROR.</t>
  </si>
  <si>
    <t>D02_step_DB_freq</t>
  </si>
  <si>
    <t>TC-CP-007</t>
  </si>
  <si>
    <t>OTP retry happy (recoverable)</t>
  </si>
  <si>
    <t>Zadej špatný OTP, pak správný → ověřený; pokus countdown -1; advance to next driver or screen 03.</t>
  </si>
  <si>
    <t>Wrong OTP then correct → verified; attempt count −1; advance to next driver or screen 03.</t>
  </si>
  <si>
    <t>regression</t>
  </si>
  <si>
    <t>specs/TC-CP-007-SPEC.md (skeleton)</t>
  </si>
  <si>
    <t>Recoverable subset of failure envelope.</t>
  </si>
  <si>
    <t>D02_step_OTP_retry</t>
  </si>
  <si>
    <t>TC-CP-008</t>
  </si>
  <si>
    <t>zenID + AISPOV ROB — happy auto-fill</t>
  </si>
  <si>
    <t>Účastník nafotí OP → zenID OK → AISPOV StatusVysledek=OK → form pre-filled na screen 04.</t>
  </si>
  <si>
    <t>User photographs OP → zenID OK → AISPOV StatusVysledek=OK → form pre-filled at screen 04.</t>
  </si>
  <si>
    <t>specs/TC-CP-008-SPEC.md (skeleton)</t>
  </si>
  <si>
    <t>Replaces rev3 TC-CP-001 framing — actual implicit-ID-auth happy.
Strengthening (rev 6 / COVERAGE-GAP §4): assert exactly 1 AISPOV call per report when first ROB lookup returns NENALEZENO — no further AISPOV calls for participant N. Verify via network-trace count.</t>
  </si>
  <si>
    <t>F,P,S</t>
  </si>
  <si>
    <t>D04_step_AISPOV_ROB</t>
  </si>
  <si>
    <t>TC-CP-009</t>
  </si>
  <si>
    <t>zenID NOK → manual + AISPOV button — recoverable</t>
  </si>
  <si>
    <t>zenID OCR NOK → editing mode → user fills jméno+příjmení+DOB+OP+addr → AISPOV button → ROB OK → pre-fill.</t>
  </si>
  <si>
    <t>zenID OCR NOK → editing mode → user fills basics → AISPOV button → ROB OK → pre-fill.</t>
  </si>
  <si>
    <t>specs/TC-CP-009-SPEC.md (skeleton)</t>
  </si>
  <si>
    <t>Recoverable manual-fallback path.</t>
  </si>
  <si>
    <t>D03_step_OCR_NOK</t>
  </si>
  <si>
    <t>TC-CP-010</t>
  </si>
  <si>
    <t>AISPOV NENALEZENO ROB — negativní bez auto-fill</t>
  </si>
  <si>
    <t>AISPOV NENALEZENO ROB — negative no auto-fill</t>
  </si>
  <si>
    <t>AISPOV vrátí NENALEZENO+SubStatus=OK+Komponenta=ROB → editing mode bez pre-fill; **no further AISPOV calls** for any participant in this report.</t>
  </si>
  <si>
    <t>AISPOV returns NENALEZENO+SubStatus=OK+Komponenta=ROB → editing mode no pre-fill; no further AISPOV calls.</t>
  </si>
  <si>
    <t>specs/TC-CP-010-SPEC.md (skeleton)</t>
  </si>
  <si>
    <t>Important: assert call-count = 1 across remainder of report. Pairs with TC-CP-008.</t>
  </si>
  <si>
    <t>F,S</t>
  </si>
  <si>
    <t>D04_step_AISPOV_NENALEZENO</t>
  </si>
  <si>
    <t>TC-CP-011</t>
  </si>
  <si>
    <t>Camera permission denied → gallery upload — recoverable</t>
  </si>
  <si>
    <t>Browser zakáže camera permission → CS error msg → user vybere gallery upload → flow pokračuje.</t>
  </si>
  <si>
    <t>Browser blocks camera → CS error → user selects gallery upload → flow continues.</t>
  </si>
  <si>
    <t>specs/TC-CP-011-SPEC.md (skeleton)</t>
  </si>
  <si>
    <t>Mobile-only edge case; touch-target verification.</t>
  </si>
  <si>
    <t>F,U,+I</t>
  </si>
  <si>
    <t>D03_step_camera_perm</t>
  </si>
  <si>
    <t>TC-CP-012</t>
  </si>
  <si>
    <t>SPZ scan + AISPOV vehicle — happy</t>
  </si>
  <si>
    <t>Nafotí SPZ → zenID OK → confirm popup ANO → AISPOV vehicle+insurance OK → form pre-filled na screen 09.</t>
  </si>
  <si>
    <t>Photograph SPZ → zenID OK → confirm popup YES → AISPOV vehicle+insurance OK → form pre-filled at screen 09.</t>
  </si>
  <si>
    <t>specs/TC-CP-012-SPEC.md (skeleton)</t>
  </si>
  <si>
    <t>Vehicle-side ID-auth analogue.
Strengthening (rev 6 / COVERAGE-GAP §4): after SPZ confirm-popup ANO, assert SPZ photo upload UI is no longer interactable (re-upload disabled).</t>
  </si>
  <si>
    <t>D08_step_SPZ_AISPOV</t>
  </si>
  <si>
    <t>TC-CP-013</t>
  </si>
  <si>
    <t>SPZ NOK → gallery upload — recoverable</t>
  </si>
  <si>
    <t>zenID SPZ NOK → user vybere gallery upload → API server-side OCR → confirm → success.</t>
  </si>
  <si>
    <t>zenID SPZ NOK → user selects gallery upload → API server-side OCR → confirm → success.</t>
  </si>
  <si>
    <t>specs/TC-CP-013-SPEC.md (skeleton)</t>
  </si>
  <si>
    <t>Recoverable; tests INT-006 → INT-007 fallback.</t>
  </si>
  <si>
    <t>D08_step_zenID_NOK</t>
  </si>
  <si>
    <t>TC-CP-014</t>
  </si>
  <si>
    <t>AISPOV vehicle missing — negativní bez insurance fields</t>
  </si>
  <si>
    <t>AISPOV vehicle missing — negative no insurance fields</t>
  </si>
  <si>
    <t>AISPOV vehicle nevrací data → editing mode bez Číslo smlouvy + Číslo zelené karty fields shown.</t>
  </si>
  <si>
    <t>AISPOV vehicle returns no data → editing mode without contract+green-card fields.</t>
  </si>
  <si>
    <t>AISPOV_VEHICLE_MISSING</t>
  </si>
  <si>
    <t>specs/TC-CP-014-SPEC.md (skeleton)</t>
  </si>
  <si>
    <t>Pairs with TC-CP-012.</t>
  </si>
  <si>
    <t>D09_step_AISPOV_vehicle_missing</t>
  </si>
  <si>
    <t>TC-CP-015</t>
  </si>
  <si>
    <t>Souhrn → SMS-OTP oba řidiči — happy</t>
  </si>
  <si>
    <t>Summary → SMS-OTP both drivers — happy</t>
  </si>
  <si>
    <t>Po vyplnění all sections → screen 15 souhrn → screen 17 SMS-OTP podpis A → screen 17 SMS-OTP podpis N → screen 18 → FINISHED + 2 e-maily.</t>
  </si>
  <si>
    <t>After all sections → screen 15 summary → SMS-OTP sign A → SMS-OTP sign N → FINISHED + 2 e-mails.</t>
  </si>
  <si>
    <t>specs/TC-CP-015-SPEC.md (skeleton)</t>
  </si>
  <si>
    <t>Closing sequence; produces PDF.
Strengthening (rev 6 / COVERAGE-GAP §4): assert generated PDF contains both QR code and the Identifikační kód (ID hlášení DN) text — verifies IZS hand-off.</t>
  </si>
  <si>
    <t>D17_step_sign_dispatch</t>
  </si>
  <si>
    <t>TC-CP-016</t>
  </si>
  <si>
    <t>Sign-OTP exhaustion — negativní</t>
  </si>
  <si>
    <t>Sign-OTP exhaustion — negative</t>
  </si>
  <si>
    <t>Driver N OTP attempts exceeded při podpisu → ERROR; subreason SIGN_OTP_ATTEMPTS (TBC).</t>
  </si>
  <si>
    <t>Driver N OTP attempts exceeded at sign → ERROR; subreason SIGN_OTP_ATTEMPTS (TBC).</t>
  </si>
  <si>
    <t>SIGN_OTP_ATTEMPTS (TBC)</t>
  </si>
  <si>
    <t>specs/TC-CP-016-SPEC.md (skeleton)</t>
  </si>
  <si>
    <t>Sub-reason name TBC from pages 43..133.</t>
  </si>
  <si>
    <t>D17_step_sign_attempts</t>
  </si>
  <si>
    <t>TC-CP-017</t>
  </si>
  <si>
    <t>Submit timeout retry — recoverable</t>
  </si>
  <si>
    <t>Submit POST returns 504 → CS retry toast → retry → success → FINISHED.</t>
  </si>
  <si>
    <t>specs/TC-CP-017-SPEC.md (skeleton)</t>
  </si>
  <si>
    <t>State preserved across retry.</t>
  </si>
  <si>
    <t>D17_step_submit_timeout</t>
  </si>
  <si>
    <t>TC-CP-018</t>
  </si>
  <si>
    <t>End-to-end happy NEW → FINISHED</t>
  </si>
  <si>
    <t>Plný happy průchod 00 → 01 → 02 → 03 → 04 → 05 → 06 → 07 → 08 → 09 → 10 → 11 → 12 → 13 → 14 → 15 → 16 → 17 → 18; všechny integrace aktivní.</t>
  </si>
  <si>
    <t>Full happy run 00 → 18; all integrations active.</t>
  </si>
  <si>
    <t>specs/TC-CP-018-SPEC.md (skeleton)</t>
  </si>
  <si>
    <t>Cross-area sentinel; expensive but high-value.</t>
  </si>
  <si>
    <t>E2E_full_run</t>
  </si>
  <si>
    <t>TC-CP-019</t>
  </si>
  <si>
    <t>Outage active — CTA disabled</t>
  </si>
  <si>
    <t>Azure Blob outage config aktivní → red box na landing + CTA Vyplnit záznam neaktivní; pokus o entry → no advance.</t>
  </si>
  <si>
    <t>Azure Blob outage config active → red box on landing + Vyplnit záznam CTA inactive; entry attempt → no advance.</t>
  </si>
  <si>
    <t>specs/TC-CP-019-SPEC.md (skeleton)</t>
  </si>
  <si>
    <t>Mock outage JSON via env config or stub.
Strengthening (rev 6 / COVERAGE-GAP §4): assert VYPLNIT ZÁZNAM CTA is in DISABLED state (visible but non-interactable) during outage — not just hidden.</t>
  </si>
  <si>
    <t>F,U,+L</t>
  </si>
  <si>
    <t>D00_outage_banner</t>
  </si>
  <si>
    <t>TC-CP-020</t>
  </si>
  <si>
    <t>Mid-wizard interlock self-disclosure → terminate</t>
  </si>
  <si>
    <t>Uvnitř průvodce uživatel označí 'došlo ke zranění' → interlock fires → terminate s redirect to tel:158 + ERROR.</t>
  </si>
  <si>
    <t>Mid-wizard user marks 'injuries occurred' → interlock fires → terminate with redirect to tel:158 + ERROR.</t>
  </si>
  <si>
    <t>ELIGIBILITY_INTERLOCK</t>
  </si>
  <si>
    <t>specs/TC-CP-020-SPEC.md (skeleton)</t>
  </si>
  <si>
    <t>Regulatory-grade safety; subreason name TBC.</t>
  </si>
  <si>
    <t>midwizard_interlock</t>
  </si>
  <si>
    <t>TC-CP-021</t>
  </si>
  <si>
    <t>Okolnosti nehody — změna pořadí vozidel</t>
  </si>
  <si>
    <t>Circumstances — vehicle order swap</t>
  </si>
  <si>
    <t>D12 click 'ZMĚNIT POŘADÍ' → obrázky re-render se swapped pořadím; submit posílá nové pořadí na PDF.</t>
  </si>
  <si>
    <t>D12 click 'CHANGE ORDER' → images re-render with swapped order; submit propagates new order to PDF.</t>
  </si>
  <si>
    <t>specs/TC-CP-021-SPEC.md (skeleton)</t>
  </si>
  <si>
    <t>Surfaced as gap in COVERAGE-GAP-ANALYSIS.md §2.1; D12 swap branch was implicit in TC-CP-018 only.</t>
  </si>
  <si>
    <t>D12_swap_branch</t>
  </si>
  <si>
    <t>TC-CP-022</t>
  </si>
  <si>
    <t>Místo nehody — větvení GPS vs manuální adresa</t>
  </si>
  <si>
    <t>Accident location — GPS vs manual-address branch</t>
  </si>
  <si>
    <t>D13 GPS branch volá INT-005 Maps; manuální adresa volá INT-008 RUIAN; obě persist sady polí F-061..F-069.</t>
  </si>
  <si>
    <t>D13 GPS branch calls INT-005 Maps; manual-address branch calls INT-008 RUIAN; both persist F-061..F-069.</t>
  </si>
  <si>
    <t>specs/TC-CP-022-SPEC.md (skeleton)</t>
  </si>
  <si>
    <t>Surfaced as gap in COVERAGE-GAP-ANALYSIS.md §2.2; default fixture path covers only one branch.</t>
  </si>
  <si>
    <t>D13_branch_GPS_RUIAN</t>
  </si>
  <si>
    <t>TC-CP-023</t>
  </si>
  <si>
    <t>Určení viníka nehody — všechny radio varianty</t>
  </si>
  <si>
    <t>Fault attribution — all radio variants</t>
  </si>
  <si>
    <t>D14 radio: účastník A | účastník N | žádný | neurčeno; všechny 4 varianty drive + assert v PDF F-112.</t>
  </si>
  <si>
    <t>D14 radio: participant A | N | none | undetermined; all 4 variants exercised; PDF F-112 verbatim.</t>
  </si>
  <si>
    <t>specs/TC-CP-023-SPEC.md (skeleton)</t>
  </si>
  <si>
    <t>Surfaced as gap in COVERAGE-GAP-ANALYSIS.md §2.3; regulatory-grade datapoint.</t>
  </si>
  <si>
    <t>D14_radio_variants</t>
  </si>
  <si>
    <t>SMS-OTP odeslání + ověření</t>
  </si>
  <si>
    <t>SMS-OTP send + verify</t>
  </si>
  <si>
    <t>Plný cyklus SEND OTP → mock vrátí otp_for_test → test ho vyplní → VALIDATE OTP vrátí valid:true.</t>
  </si>
  <si>
    <t>Full cycle SEND OTP → mock returns otp_for_test → test fills it → VALIDATE OTP returns valid:true.</t>
  </si>
  <si>
    <t>env.sms_gateway_mode='mock'; Mockoon CLI on :8025; tester_jeden + tester_dva fixtures</t>
  </si>
  <si>
    <t>see specs/TC-CP-005-SPEC.md</t>
  </si>
  <si>
    <t>OTP round-trip; state machine advances</t>
  </si>
  <si>
    <t>accidentReportStatus = IN_PROGRESS_DRIVERS; no real SMS sent</t>
  </si>
  <si>
    <t>specs/TC-CP-005-SPEC.md</t>
  </si>
  <si>
    <t>NEW v0.2 per CP-SUPIN-03 STEP 4.3 step 5 (synchro §3.4)</t>
  </si>
  <si>
    <t>TC-CP-NEW-A</t>
  </si>
  <si>
    <t>Rozcestník copy integrity (3 karty + 3 safety bullets)</t>
  </si>
  <si>
    <t>asserts STR-001..005; catches PROD-bundle-leak into DEMO if banner missing</t>
  </si>
  <si>
    <t>both</t>
  </si>
  <si>
    <t>TC-CP-NEW-B</t>
  </si>
  <si>
    <t>R1 scope sentence verbatim (200 000 Kč)</t>
  </si>
  <si>
    <t>STR-003; legal anchor for R1 scope</t>
  </si>
  <si>
    <t>TC-CP-NEW-C</t>
  </si>
  <si>
    <t>DEMO banner present on DEMO; absent on PROD</t>
  </si>
  <si>
    <t>Δ11; STR-002; env-aware screenshot baseline</t>
  </si>
  <si>
    <t>TC-CP-NEW-D</t>
  </si>
  <si>
    <t>Police-criteria expand interaction (7 bullets)</t>
  </si>
  <si>
    <t>expand-collapse; STR-* TBC</t>
  </si>
  <si>
    <t>TC-CP-NEW-E</t>
  </si>
  <si>
    <t>Pre-wizard intro renders before report mint</t>
  </si>
  <si>
    <t>STR-006..009; route /informations; click 'Rozumím' → POST /reports</t>
  </si>
  <si>
    <t>TC-CP-NEW-F</t>
  </si>
  <si>
    <t>POST /api/reports envelope returns UUID-v4</t>
  </si>
  <si>
    <t>API contract; schema assertion via Zod-mirror</t>
  </si>
  <si>
    <t>TC-CP-NEW-G</t>
  </si>
  <si>
    <t>Deep-link /verification works after manual POST</t>
  </si>
  <si>
    <t>automation-friendly: pre-mint UUID via API, jump to /verification</t>
  </si>
  <si>
    <t>TC-CP-NEW-H</t>
  </si>
  <si>
    <t>Slovak +421 predvolba selectable + accepted</t>
  </si>
  <si>
    <t>DEMO hint claims SK accepted; verify form actually accepts</t>
  </si>
  <si>
    <t>TC-CP-NEW-I</t>
  </si>
  <si>
    <t>GDPR consent required for A; absent for B</t>
  </si>
  <si>
    <t>asymmetric consent; legal-relevance</t>
  </si>
  <si>
    <t>TC-CP-NEW-J</t>
  </si>
  <si>
    <t>Phase 1 DEMO hint absent on PROD</t>
  </si>
  <si>
    <t>Δ1 negation; PROD MUST send real SMS</t>
  </si>
  <si>
    <t>prod-only</t>
  </si>
  <si>
    <t>TC-CP-NEW-K</t>
  </si>
  <si>
    <t>Data-purge-on-abandon (per Phase 1 disclaimer)</t>
  </si>
  <si>
    <t>STR-013; GDPR-aligned; verify by abandoning + re-checking GET /reports/{r}</t>
  </si>
  <si>
    <t>TC-CP-NEW-L</t>
  </si>
  <si>
    <t>Outage-feed reachable; banner state mirrors feed</t>
  </si>
  <si>
    <t>INT-006; orange banner content from odstavky.json</t>
  </si>
  <si>
    <t>TC-CP-NEW-M</t>
  </si>
  <si>
    <t>Map locale = cs (not en_gb)</t>
  </si>
  <si>
    <t>INT-007 defect candidate; Δ23</t>
  </si>
  <si>
    <t>TC-CP-NEW-N</t>
  </si>
  <si>
    <t>POST /api/reports rate-limited (anti-abuse)</t>
  </si>
  <si>
    <t>spam 100 POSTs; expect 429 after threshold</t>
  </si>
  <si>
    <t>both-with-adapter</t>
  </si>
  <si>
    <t>TC-CP-NEW-O</t>
  </si>
  <si>
    <t>DEMO accepts ANY 4-digit OTP (verify + sign)</t>
  </si>
  <si>
    <t>Δ1 confirmed; smoke for the bypass behaviour</t>
  </si>
  <si>
    <t>demo-only</t>
  </si>
  <si>
    <t>TC-CP-NEW-P</t>
  </si>
  <si>
    <t>PROD rejects arbitrary 4-digit OTP</t>
  </si>
  <si>
    <t>negation of NEW-O; needs N8 sandbox</t>
  </si>
  <si>
    <t>TC-CP-NEW-Q</t>
  </si>
  <si>
    <t>Identifikační kód format XXXXXX-YY-NNNNNNN</t>
  </si>
  <si>
    <t>regex assert; year segment matches current year</t>
  </si>
  <si>
    <t>TC-CP-NEW-R</t>
  </si>
  <si>
    <t>Police/IZS QR modal accessible from header</t>
  </si>
  <si>
    <t>header 4-dot icon post-verification opens drawer</t>
  </si>
  <si>
    <t>TC-CP-NEW-S</t>
  </si>
  <si>
    <t>Phase 2 manual deep-link ?validate=false respected</t>
  </si>
  <si>
    <t>automation hook; relaxes OCR validation but not required-field</t>
  </si>
  <si>
    <t>TC-CP-NEW-T</t>
  </si>
  <si>
    <t>Phase 2 driver-registry: DEMO no-op; PROD AISPOV-CRR</t>
  </si>
  <si>
    <t>Δ27; Načíst-z-registru button behaviour split</t>
  </si>
  <si>
    <t>TC-CP-NEW-U</t>
  </si>
  <si>
    <t>Phase 2 RUIAN address autocomplete (3+ chars)</t>
  </si>
  <si>
    <t>INT-009; ČÚZK ArcGIS suggest endpoint</t>
  </si>
  <si>
    <t>TC-CP-NEW-V</t>
  </si>
  <si>
    <t>ŘP number regex ^[A-Z]{2} \d{6}$ enforced</t>
  </si>
  <si>
    <t>format hint XY 000000; client-side validation</t>
  </si>
  <si>
    <t>TC-CP-NEW-W</t>
  </si>
  <si>
    <t>Birth date DD.MM.YYYY enforced + DatePicker functional</t>
  </si>
  <si>
    <t>MUI DatePicker; locale cs</t>
  </si>
  <si>
    <t>TC-CP-NEW-X</t>
  </si>
  <si>
    <t>Pre-wizard 20-video pre-fetch is non-blocking</t>
  </si>
  <si>
    <t>Phase 1 form usable while videos download</t>
  </si>
  <si>
    <t>TC-CP-NEW-Y</t>
  </si>
  <si>
    <t>INT-009 down; 'Zadat adresu manuálně' fallback works</t>
  </si>
  <si>
    <t>test_case_ref</t>
  </si>
  <si>
    <t>param_id</t>
  </si>
  <si>
    <t>param_name</t>
  </si>
  <si>
    <t>param_kind</t>
  </si>
  <si>
    <t>source_kind</t>
  </si>
  <si>
    <t>source_ref</t>
  </si>
  <si>
    <t>default_value</t>
  </si>
  <si>
    <t>TC-CP-001-P-01</t>
  </si>
  <si>
    <t>env_url</t>
  </si>
  <si>
    <t>string</t>
  </si>
  <si>
    <t>env-config</t>
  </si>
  <si>
    <t>env/{env}.json::base_url</t>
  </si>
  <si>
    <t>https://tst.bouracka.cz</t>
  </si>
  <si>
    <t>TC-CP-001-P-02</t>
  </si>
  <si>
    <t>viewport</t>
  </si>
  <si>
    <t>literal</t>
  </si>
  <si>
    <t>375x667</t>
  </si>
  <si>
    <t>mobile-only per AMENDMENT 2</t>
  </si>
  <si>
    <t>TC-CP-002-P-01</t>
  </si>
  <si>
    <t>ping_response_status</t>
  </si>
  <si>
    <t>integer</t>
  </si>
  <si>
    <t>from-mock-response</t>
  </si>
  <si>
    <t>Mockoon[N8]/PING_NOK::status</t>
  </si>
  <si>
    <t>503</t>
  </si>
  <si>
    <t>TC-CP-003-P-01</t>
  </si>
  <si>
    <t>police_conditions_count</t>
  </si>
  <si>
    <t>7</t>
  </si>
  <si>
    <t>regulatory grade — 7 hard-stop conditions</t>
  </si>
  <si>
    <t>TC-CP-005-P-01</t>
  </si>
  <si>
    <t>otp_value</t>
  </si>
  <si>
    <t>Mockoon[N8]/SEND_OTP::otp_for_test</t>
  </si>
  <si>
    <t>1234</t>
  </si>
  <si>
    <t>NEW v0.2 per synchro §3.4 step 5</t>
  </si>
  <si>
    <t>TC-CP-005-P-02</t>
  </si>
  <si>
    <t>phone_a</t>
  </si>
  <si>
    <t>fixture-ref</t>
  </si>
  <si>
    <t>fixtures/shared/test-drivers.json::tester_jeden.phone</t>
  </si>
  <si>
    <t>+420 608 323 999</t>
  </si>
  <si>
    <t>TC-CP-005-P-03</t>
  </si>
  <si>
    <t>phone_n</t>
  </si>
  <si>
    <t>fixtures/shared/test-drivers.json::tester_dva.phone</t>
  </si>
  <si>
    <t>+420 608 323 888</t>
  </si>
  <si>
    <t>TC-CP-019-P-01</t>
  </si>
  <si>
    <t>outage_config</t>
  </si>
  <si>
    <t>json</t>
  </si>
  <si>
    <t>env/{env}.json::outage_config_url</t>
  </si>
  <si>
    <t>(see Azure Blob)</t>
  </si>
  <si>
    <t>step_id</t>
  </si>
  <si>
    <t>assertion_library_ref</t>
  </si>
  <si>
    <t>expected</t>
  </si>
  <si>
    <t>TC-CP-001-S-04</t>
  </si>
  <si>
    <t>LIB-AS-FUNC-002</t>
  </si>
  <si>
    <t>URL matches /\/formular(\?.*)?$/</t>
  </si>
  <si>
    <t>TC-CP-001-S-09</t>
  </si>
  <si>
    <t>title matches /Bouračka/i</t>
  </si>
  <si>
    <t>TC-CP-001-S-10</t>
  </si>
  <si>
    <t>LIB-AS-USAB-001</t>
  </si>
  <si>
    <t>primary CTA touch-target ≥ 44×44 px</t>
  </si>
  <si>
    <t>WCAG</t>
  </si>
  <si>
    <t>TC-CP-002-S-08</t>
  </si>
  <si>
    <t>LIB-AS-FUNC-003</t>
  </si>
  <si>
    <t>URL stays on /formular</t>
  </si>
  <si>
    <t>TC-CP-005-S-03</t>
  </si>
  <si>
    <t>LIB-AS-RELI-001</t>
  </si>
  <si>
    <t>exactly 1 SEND_OTP call to N8</t>
  </si>
  <si>
    <t>NEW v0.2</t>
  </si>
  <si>
    <t>TC-CP-005-S-06</t>
  </si>
  <si>
    <t>LIB-AS-FUNC-004</t>
  </si>
  <si>
    <t>OTP value matches mock 1234</t>
  </si>
  <si>
    <t>TC-CP-019-S-04</t>
  </si>
  <si>
    <t>LIB-AS-FUNC-005</t>
  </si>
  <si>
    <t>CTA disabled attribute true (NOT hidden)</t>
  </si>
  <si>
    <t>library_code</t>
  </si>
  <si>
    <t>pattern_kind</t>
  </si>
  <si>
    <t>description_en</t>
  </si>
  <si>
    <t>playwright_snippet</t>
  </si>
  <si>
    <t>cypress_snippet</t>
  </si>
  <si>
    <t>LIB-AS-FUNC-001</t>
  </si>
  <si>
    <t>network-status-class-2xx</t>
  </si>
  <si>
    <t>Každý API call vrací 2xx mimo explicitních failure cases.</t>
  </si>
  <si>
    <t>Every API call returns 2xx unless explicitly testing failure.</t>
  </si>
  <si>
    <t>expect(response.status()).toBeGreaterThanOrEqual(200); expect(response.status()).toBeLessThan(300);</t>
  </si>
  <si>
    <t>expect(@response.status).to.be.within(200,299)</t>
  </si>
  <si>
    <t>forward-looking — canonical F dimension example</t>
  </si>
  <si>
    <t>wcag-target-size-44</t>
  </si>
  <si>
    <t>Touch-target ≥ 44×44 px (WCAG 2.2 AA).</t>
  </si>
  <si>
    <t>const box = await loc.boundingBox(); expect(box.width).toBeGreaterThanOrEqual(44); expect(box.height).toBeGreaterThanOrEqual(44);</t>
  </si>
  <si>
    <t>cy.get(@el).then($el =&gt; { const r = $el[0].getBoundingClientRect(); expect(r.width).to.be.gte(44); expect(r.height).to.be.gte(44); });</t>
  </si>
  <si>
    <t>in use; canonical U example</t>
  </si>
  <si>
    <t>network-call-count-exact</t>
  </si>
  <si>
    <t>Přesně N volání per user action; žádné retries na happy.</t>
  </si>
  <si>
    <t>Exactly N calls per user action; no retries on happy path.</t>
  </si>
  <si>
    <t>let calls=0; page.on('request',r=&gt;r.url().includes('/api')&amp;&amp;calls++); /*after*/ expect(calls).toBe(1);</t>
  </si>
  <si>
    <t>let calls=0; cy.intercept('/api',()=&gt;calls++); /*after*/ expect(calls).to.eq(1)</t>
  </si>
  <si>
    <t>forward-looking — canonical R example</t>
  </si>
  <si>
    <t>LIB-AS-PERF-001</t>
  </si>
  <si>
    <t>network-response-time-p95-under-ms</t>
  </si>
  <si>
    <t>p95 odezva pod prahovou hodnotou ms.</t>
  </si>
  <si>
    <t>p95 response time under threshold ms.</t>
  </si>
  <si>
    <t>const r = await page.waitForResponse(...); const ms = r.timing().responseEnd; expect(ms).toBeLessThan(800);</t>
  </si>
  <si>
    <t>(via cy.intercept with timing measurement)</t>
  </si>
  <si>
    <t>forward-looking — canonical P example</t>
  </si>
  <si>
    <t>LIB-AS-SUPP-001</t>
  </si>
  <si>
    <t>error-message-localised-cs</t>
  </si>
  <si>
    <t>Každá error message má CS rendering odpovídající glosáři.</t>
  </si>
  <si>
    <t>Every error message has CS rendering matching glossary regex.</t>
  </si>
  <si>
    <t>await expect(page.getByRole('alert')).toContainText(/povinné|neplatný|nedostupné/i);</t>
  </si>
  <si>
    <t>cy.contains(/povinné|neplatný|nedostupné/i)</t>
  </si>
  <si>
    <t>forward-looking — canonical S example</t>
  </si>
  <si>
    <t>url-matches-regex</t>
  </si>
  <si>
    <t>Aktuální URL odpovídá regex.</t>
  </si>
  <si>
    <t>Current URL matches regex.</t>
  </si>
  <si>
    <t>await expect(page).toHaveURL(/\/formular(\?.*)?$/);</t>
  </si>
  <si>
    <t>cy.url().should('match', /\/formular(\?.*)?$/);</t>
  </si>
  <si>
    <t>extracted from TC-CP-001/002</t>
  </si>
  <si>
    <t>url-not-changed</t>
  </si>
  <si>
    <t>URL se nezměnil (uživatel nepokročil).</t>
  </si>
  <si>
    <t>URL did not change (user did not advance).</t>
  </si>
  <si>
    <t>await expect(page).toHaveURL(/^.*\/formular(\?.*)?$/);</t>
  </si>
  <si>
    <t>cy.url().should('match', /\/formular/);</t>
  </si>
  <si>
    <t>extracted from TC-CP-002</t>
  </si>
  <si>
    <t>value-equals-fixture</t>
  </si>
  <si>
    <t>Vrácená hodnota = očekávaná z fixture.</t>
  </si>
  <si>
    <t>Returned value equals expected from fixture.</t>
  </si>
  <si>
    <t>expect(actual).toBe(fixtures.expected);</t>
  </si>
  <si>
    <t>expect(@actual).to.eq(fixtures.expected);</t>
  </si>
  <si>
    <t>element-disabled-attr</t>
  </si>
  <si>
    <t>Element je disabled (atribut), nikoliv jen skrytý.</t>
  </si>
  <si>
    <t>Element is disabled (attribute), not merely hidden.</t>
  </si>
  <si>
    <t>await expect(loc).toBeDisabled();</t>
  </si>
  <si>
    <t>cy.get(@el).should('be.disabled');</t>
  </si>
  <si>
    <t>extracted from TC-CP-019 strengthening</t>
  </si>
  <si>
    <t>LIB-AS-FUNC-006</t>
  </si>
  <si>
    <t>element-visible</t>
  </si>
  <si>
    <t>Element je viditelný.</t>
  </si>
  <si>
    <t>Element is visible.</t>
  </si>
  <si>
    <t>await expect(loc).toBeVisible();</t>
  </si>
  <si>
    <t>cy.get(@el).should('be.visible');</t>
  </si>
  <si>
    <t>LIB-AS-FUNC-007</t>
  </si>
  <si>
    <t>element-attached</t>
  </si>
  <si>
    <t>Element je v DOM.</t>
  </si>
  <si>
    <t>Element is attached to DOM.</t>
  </si>
  <si>
    <t>await expect(loc).toBeAttached();</t>
  </si>
  <si>
    <t>cy.get(@el).should('exist');</t>
  </si>
  <si>
    <t>extracted from reCAPTCHA badge presence checks</t>
  </si>
  <si>
    <t>LIB-AS-FUNC-008</t>
  </si>
  <si>
    <t>list-count-equals</t>
  </si>
  <si>
    <t>Počet listitemů odpovídá očekávání.</t>
  </si>
  <si>
    <t>Listitem count equals expected.</t>
  </si>
  <si>
    <t>await expect(items).toHaveCount(7);</t>
  </si>
  <si>
    <t>cy.get('[role=listitem]').should('have.length', 7);</t>
  </si>
  <si>
    <t>extracted from TC-CP-002 (police-call interlock = 7)</t>
  </si>
  <si>
    <t>LIB-AS-FUNC-009</t>
  </si>
  <si>
    <t>attribute-matches-regex</t>
  </si>
  <si>
    <t>Hodnota atributu odpovídá regex.</t>
  </si>
  <si>
    <t>Attribute value matches regex.</t>
  </si>
  <si>
    <t>await expect(loc).toHaveAttribute('href', /^tel:\s*158$/);</t>
  </si>
  <si>
    <t>cy.get(@el).should('have.attr','href').and('match', /^tel:\s*158$/);</t>
  </si>
  <si>
    <t>extracted from TC-CP-002 (tel:158)</t>
  </si>
  <si>
    <t>LIB-AS-FUNC-010</t>
  </si>
  <si>
    <t>no-record-persisted</t>
  </si>
  <si>
    <t>Po neúspěšném submit žádný record nebyl persistován.</t>
  </si>
  <si>
    <t>After failed submit, no record was persisted.</t>
  </si>
  <si>
    <t>/* poll backend or assert state machine = ERROR */</t>
  </si>
  <si>
    <t>/* same */</t>
  </si>
  <si>
    <t>extracted from TC-CP-004 ERROR-handling</t>
  </si>
  <si>
    <t>scope</t>
  </si>
  <si>
    <t>env_ref</t>
  </si>
  <si>
    <t>payload_ref</t>
  </si>
  <si>
    <t>sanitised</t>
  </si>
  <si>
    <t>TD-CP-001</t>
  </si>
  <si>
    <t>Neplatné přihlašovací údaje (placeholder)</t>
  </si>
  <si>
    <t>Invalid login (placeholder)</t>
  </si>
  <si>
    <t>Statická fixtura pro neplatné scénáře — nesouvisí se SUT, výchozí přijímané vstupy.</t>
  </si>
  <si>
    <t>Static fixture for invalid scenarios — not SUT-tied; default rejected inputs.</t>
  </si>
  <si>
    <t>test_data</t>
  </si>
  <si>
    <t>shared</t>
  </si>
  <si>
    <t>ENV-PUB+ENV-TST+ENV-DMO</t>
  </si>
  <si>
    <t>fixtures/shared/invalid-login.json</t>
  </si>
  <si>
    <t>yes</t>
  </si>
  <si>
    <t>Committed; no secret content.</t>
  </si>
  <si>
    <t>TD-CP-002</t>
  </si>
  <si>
    <t>Testovací řidiči (registr stub)</t>
  </si>
  <si>
    <t>Test drivers (registry stub)</t>
  </si>
  <si>
    <t>Mapa testovacích ID → identitních dat pro registr stub na tst.*.</t>
  </si>
  <si>
    <t>Test ID → identity-data mapping for the registry stub on tst.*.</t>
  </si>
  <si>
    <t>ENV-TST+ENV-DMO</t>
  </si>
  <si>
    <t>fixtures/shared/test-drivers.json (TBC — user supplies fixture)</t>
  </si>
  <si>
    <t>yes (sanitised at user side before commit)</t>
  </si>
  <si>
    <t>Awaits user-supplied template per scope §6.2.</t>
  </si>
  <si>
    <t>TD-CP-003</t>
  </si>
  <si>
    <t>Testovací vozidla (registr stub)</t>
  </si>
  <si>
    <t>Test vehicles (registry stub)</t>
  </si>
  <si>
    <t>Mapa SPZ → vehicle metadata pro registr stub.</t>
  </si>
  <si>
    <t>SPZ → vehicle metadata mapping for the registry stub.</t>
  </si>
  <si>
    <t>fixtures/shared/test-vehicles.json (TBC)</t>
  </si>
  <si>
    <t>SPZ format ^\d[A-Z]{2}\s?\d{4}$ — Czech.</t>
  </si>
  <si>
    <t>TD-CP-004</t>
  </si>
  <si>
    <t>Skutečné OTP přes hook</t>
  </si>
  <si>
    <t>Real OTP via hook</t>
  </si>
  <si>
    <t>Tester-side OTP read přes test-hook na tst.*.</t>
  </si>
  <si>
    <t>Tester-side OTP read via test-hook on tst.*.</t>
  </si>
  <si>
    <t>env-specific</t>
  </si>
  <si>
    <t>ENV-TST</t>
  </si>
  <si>
    <t>env/tst.json::sms_hook_url</t>
  </si>
  <si>
    <t>n/a (live read)</t>
  </si>
  <si>
    <t>DEMO uses fixed OTP 0000 hypothesis.</t>
  </si>
  <si>
    <t>plan_code</t>
  </si>
  <si>
    <t>plan_name_cs</t>
  </si>
  <si>
    <t>plan_name_en</t>
  </si>
  <si>
    <t>scope_summary_cs</t>
  </si>
  <si>
    <t>included_tt_refs</t>
  </si>
  <si>
    <t>included_tc_refs</t>
  </si>
  <si>
    <t>included_env_refs</t>
  </si>
  <si>
    <t>methodology_blend</t>
  </si>
  <si>
    <t>status</t>
  </si>
  <si>
    <t>PLAN-CP-W19</t>
  </si>
  <si>
    <t>Plán pro týden 19 — první dodávka</t>
  </si>
  <si>
    <t>Week 19 plan — first deliverable</t>
  </si>
  <si>
    <t>Pokrytí 7 R1 TT × 23 R1 TC × ENV-TST + ENV-DMO; ship jako bouracka-tests v0.2.zip.</t>
  </si>
  <si>
    <t>TT-CP-R1-A1..F + TT-CP-R1-A1 NEW (TC-CP-005)</t>
  </si>
  <si>
    <t>TC-CP-001..023</t>
  </si>
  <si>
    <t>ENV-TST + ENV-DMO</t>
  </si>
  <si>
    <t>agile</t>
  </si>
  <si>
    <t>Per Vaněk Test Management: rozhodnutí o tom, co testovat — nikoliv kdy.</t>
  </si>
  <si>
    <t>schedule_code</t>
  </si>
  <si>
    <t>plan_ref</t>
  </si>
  <si>
    <t>unit_label</t>
  </si>
  <si>
    <t>planned_start</t>
  </si>
  <si>
    <t>planned_end</t>
  </si>
  <si>
    <t>actual_start</t>
  </si>
  <si>
    <t>actual_end</t>
  </si>
  <si>
    <t>SCH-CP-W19-S1</t>
  </si>
  <si>
    <t>sprint</t>
  </si>
  <si>
    <t>Sprint-2026-W19</t>
  </si>
  <si>
    <t>Per Vaněk Test Management: kdy testovat. Methodology=agile per project setting (R-PLAN-2).</t>
  </si>
  <si>
    <t>estimate_code</t>
  </si>
  <si>
    <t>scope_unit</t>
  </si>
  <si>
    <t>effort_hours</t>
  </si>
  <si>
    <t>confidence</t>
  </si>
  <si>
    <t>source_method</t>
  </si>
  <si>
    <t>EST-CP-W19-001</t>
  </si>
  <si>
    <t>TC-CP-005 (NEW)</t>
  </si>
  <si>
    <t>medium</t>
  </si>
  <si>
    <t>expert</t>
  </si>
  <si>
    <t>NEW SMS-OTP TC depends on Mockoon profile (synchro §3.4 step 1) — author 1.5h</t>
  </si>
  <si>
    <t>base_url</t>
  </si>
  <si>
    <t>network_reach</t>
  </si>
  <si>
    <t>locale</t>
  </si>
  <si>
    <t>browser_default</t>
  </si>
  <si>
    <t>recaptcha_posture</t>
  </si>
  <si>
    <t>sms_hook_url</t>
  </si>
  <si>
    <t>smtp_hook_url</t>
  </si>
  <si>
    <t>registry_stub_url</t>
  </si>
  <si>
    <t>notes_env</t>
  </si>
  <si>
    <t>sms_gateway_mode</t>
  </si>
  <si>
    <t>ENV-PUB</t>
  </si>
  <si>
    <t>Public produkce</t>
  </si>
  <si>
    <t>Public production</t>
  </si>
  <si>
    <t>Veřejná produkce; pouze dev-time recon, žádné testovací běhy.</t>
  </si>
  <si>
    <t>Public production; dev-time recon only, never test execution.</t>
  </si>
  <si>
    <t>environment</t>
  </si>
  <si>
    <t>https://www.bouracka.cz/</t>
  </si>
  <si>
    <t>public</t>
  </si>
  <si>
    <t>cs_CZ</t>
  </si>
  <si>
    <t>Chromium 132+</t>
  </si>
  <si>
    <t>FULL — Google reCAPTCHA active</t>
  </si>
  <si>
    <t>Used by ThinkPad task-force for structural recon. Never exercised end-to-end (production-protected).</t>
  </si>
  <si>
    <t>Reachable from anywhere; no auth.</t>
  </si>
  <si>
    <t>Testovací prostředí</t>
  </si>
  <si>
    <t>TEST environment</t>
  </si>
  <si>
    <t>Hlavní testovací prostředí; plná validace; oba účastníci podepisují přes SMS.</t>
  </si>
  <si>
    <t>Primary test env; full validation; both drivers sign via SMS-OTP.</t>
  </si>
  <si>
    <t>https://tst.bouracka.cz/</t>
  </si>
  <si>
    <t>supin-internal</t>
  </si>
  <si>
    <t>BYPASS expected (per OQ-CP-14)</t>
  </si>
  <si>
    <t>TBC — likely HTTP test hook</t>
  </si>
  <si>
    <t>TBC — Mailpit-like</t>
  </si>
  <si>
    <t>TBC — fixture-backed</t>
  </si>
  <si>
    <t>Reachable only from inside SUPIN's network — tester laptops only.</t>
  </si>
  <si>
    <t>Selectors per env/tst.json on disk.</t>
  </si>
  <si>
    <t>mock</t>
  </si>
  <si>
    <t>ENV-DMO</t>
  </si>
  <si>
    <t>DEMO prostředí (autoškola)</t>
  </si>
  <si>
    <t>DEMO env (driving school)</t>
  </si>
  <si>
    <t>DEMO varianta pro autoškoly; redukovaná validace; PDF s vodoznakem.</t>
  </si>
  <si>
    <t>Driving-school variant; reduced validation; watermarked PDF output.</t>
  </si>
  <si>
    <t>https://tst.demo.bouracka.cz/</t>
  </si>
  <si>
    <t>TBC — possibly fixed OTP 0000</t>
  </si>
  <si>
    <t>TBC — possibly skipped</t>
  </si>
  <si>
    <t>Reduced validation per scope C-5; per-env expected results table required in TC.</t>
  </si>
  <si>
    <t>Selectors per env/tst-demo.json on disk.</t>
  </si>
  <si>
    <t>iteration_label</t>
  </si>
  <si>
    <t>date_range</t>
  </si>
  <si>
    <t>included_tc_ids</t>
  </si>
  <si>
    <t>included_env_ids</t>
  </si>
  <si>
    <t>DEPRECATED v0.2 — see 05a_TestPlan + 05b_TestSchedule + 05c_TestEstimate</t>
  </si>
  <si>
    <t>TS-CP-WK1</t>
  </si>
  <si>
    <t>Týden 1 — první deliverable</t>
  </si>
  <si>
    <t>Week 1 — first deliverable</t>
  </si>
  <si>
    <t>První iterace; TC-CP-001..004 × ENV-TST + ENV-DMO; ship jako bouracka-tests-v0.1.zip.</t>
  </si>
  <si>
    <t>First iteration; TC-CP-001..004 × ENV-TST + ENV-DMO; ship as bouracka-tests-v0.1.zip.</t>
  </si>
  <si>
    <t>test_set</t>
  </si>
  <si>
    <t>WorkPackage-CP-SUPIN-W19</t>
  </si>
  <si>
    <t>2026-05-04 .. 2026-05-08</t>
  </si>
  <si>
    <t>TC-CP-001, TC-CP-002, TC-CP-003, TC-CP-004</t>
  </si>
  <si>
    <t>ENV-TST, ENV-DMO</t>
  </si>
  <si>
    <t>Methodology-neutral label per R-METH-4.</t>
  </si>
  <si>
    <t>test_set_ref</t>
  </si>
  <si>
    <t>framework</t>
  </si>
  <si>
    <t>framework_version</t>
  </si>
  <si>
    <t>executor</t>
  </si>
  <si>
    <t>run_started_at</t>
  </si>
  <si>
    <t>run_finished_at</t>
  </si>
  <si>
    <t>overall_verdict</t>
  </si>
  <si>
    <t>evidence_archive_ref</t>
  </si>
  <si>
    <t>test_run_ref</t>
  </si>
  <si>
    <t>actual</t>
  </si>
  <si>
    <t>evidence_path</t>
  </si>
  <si>
    <t>duration_ms</t>
  </si>
  <si>
    <t>step_failed_kind</t>
  </si>
  <si>
    <t>assertion_ref</t>
  </si>
  <si>
    <t>furps_dimension_failed</t>
  </si>
  <si>
    <t>run_id</t>
  </si>
  <si>
    <t>tc_code</t>
  </si>
  <si>
    <t>tc_title</t>
  </si>
  <si>
    <t>env</t>
  </si>
  <si>
    <t>started_at</t>
  </si>
  <si>
    <t>ended_at</t>
  </si>
  <si>
    <t>step_count</t>
  </si>
  <si>
    <t>assertion_count</t>
  </si>
  <si>
    <t>assertion_pass_count</t>
  </si>
  <si>
    <t>assertion_fail_count</t>
  </si>
  <si>
    <t>failed_at_step</t>
  </si>
  <si>
    <t>failed_at_assertion</t>
  </si>
  <si>
    <t>error_message</t>
  </si>
  <si>
    <t>retry</t>
  </si>
  <si>
    <t>screenshot_path</t>
  </si>
  <si>
    <t>trace_path</t>
  </si>
  <si>
    <t>bug_ref</t>
  </si>
  <si>
    <t>tester</t>
  </si>
  <si>
    <t>step_no</t>
  </si>
  <si>
    <t>step_description</t>
  </si>
  <si>
    <t>assertion_code</t>
  </si>
  <si>
    <t>assertion_kind</t>
  </si>
  <si>
    <t>assertion_expected</t>
  </si>
  <si>
    <t>assertion_actual</t>
  </si>
  <si>
    <t>evidence_ref</t>
  </si>
  <si>
    <t>env_where_present</t>
  </si>
  <si>
    <t>linked_tc_ref</t>
  </si>
  <si>
    <t>linked_run_result_ref</t>
  </si>
  <si>
    <t>repro_steps</t>
  </si>
  <si>
    <t>workaround</t>
  </si>
  <si>
    <t>test_implication</t>
  </si>
  <si>
    <t>tc_ref</t>
  </si>
  <si>
    <t>assertion_text</t>
  </si>
  <si>
    <t>first_seen</t>
  </si>
  <si>
    <t>last_seen</t>
  </si>
  <si>
    <t>occurrences</t>
  </si>
  <si>
    <t>envs_seen</t>
  </si>
  <si>
    <t>runs_seen</t>
  </si>
  <si>
    <t>screenshot_ref</t>
  </si>
  <si>
    <t>trace_ref</t>
  </si>
  <si>
    <t>Reports — auto-summary</t>
  </si>
  <si>
    <t>Per-env pass rate</t>
  </si>
  <si>
    <t>Env</t>
  </si>
  <si>
    <t>Total runs</t>
  </si>
  <si>
    <t>Pass rate</t>
  </si>
  <si>
    <t>TST</t>
  </si>
  <si>
    <t>DEMO</t>
  </si>
  <si>
    <t>PUB(dev)</t>
  </si>
  <si>
    <t>Per-TC outcome trend</t>
  </si>
  <si>
    <t>TC</t>
  </si>
  <si>
    <t>Pass</t>
  </si>
  <si>
    <t>Fail</t>
  </si>
  <si>
    <t>Bug aging — open bugs by priority</t>
  </si>
  <si>
    <t>Priority</t>
  </si>
  <si>
    <t>Open count</t>
  </si>
  <si>
    <t>Glossary CS ↔ EN — bouracka.cz domain + CAST/MI-M-T vocabulary</t>
  </si>
  <si>
    <t>Term (CS)</t>
  </si>
  <si>
    <t>Term (EN)</t>
  </si>
  <si>
    <t>Definition</t>
  </si>
  <si>
    <t>Bouračka</t>
  </si>
  <si>
    <t>ČKP-operated web app for self-recording small traffic accidents (no police, no injuries).</t>
  </si>
  <si>
    <t>ČKP</t>
  </si>
  <si>
    <t>Czech Insurance Bureau</t>
  </si>
  <si>
    <t>Česká kancelář pojistitelů — operator/owner of bouracka.cz.</t>
  </si>
  <si>
    <t>Servisní IT organizace ČAP</t>
  </si>
  <si>
    <t>Servisní IT organizace ČAP (Česká asociace pojišťoven). Provider platformy Bouračka (proxy AISPOV, CDN, cookie hosting).</t>
  </si>
  <si>
    <t>Záznam o dopravní nehodě</t>
  </si>
  <si>
    <t>Traffic-accident record</t>
  </si>
  <si>
    <t>The signed PDF artifact produced by the wizard.</t>
  </si>
  <si>
    <t>SPZ</t>
  </si>
  <si>
    <t>License plate</t>
  </si>
  <si>
    <t>Czech vehicle registration; format ^\d[A-Z]{2}\s?\d{4}$ (e.g. 1ZZ 2345).</t>
  </si>
  <si>
    <t>OP</t>
  </si>
  <si>
    <t>ID card</t>
  </si>
  <si>
    <t>Občanský průkaz — Czech personal ID; photographed in wizard for OCR.</t>
  </si>
  <si>
    <t>ŘP</t>
  </si>
  <si>
    <t>Driving license</t>
  </si>
  <si>
    <t>Řidičský průkaz; photographed for OCR.</t>
  </si>
  <si>
    <t>OTP</t>
  </si>
  <si>
    <t>One-time password sent via SMS; used by both drivers to sign the record.</t>
  </si>
  <si>
    <t>reCAPTCHA</t>
  </si>
  <si>
    <t>Google bot-detection challenge on /formular gateway (likely v3 invisible).</t>
  </si>
  <si>
    <t>kdy volat policii</t>
  </si>
  <si>
    <t>when to call police</t>
  </si>
  <si>
    <t>Regulatory interlock with 7 hard-stop conditions on /formular.</t>
  </si>
  <si>
    <t>test target</t>
  </si>
  <si>
    <t>CAST static-layer entity — the 'what under test'.</t>
  </si>
  <si>
    <t>test case</t>
  </si>
  <si>
    <t>Executable test artifact derived from a test_target.</t>
  </si>
  <si>
    <t>test_run</t>
  </si>
  <si>
    <t>test run</t>
  </si>
  <si>
    <t>An execution instance — one TC × one env × one framework × one moment in time.</t>
  </si>
  <si>
    <t>test_run_result</t>
  </si>
  <si>
    <t>test run result</t>
  </si>
  <si>
    <t>Per-TC verdict within a test_run (pass/fail/skip/blocked/partial).</t>
  </si>
  <si>
    <t>R-CAST-1</t>
  </si>
  <si>
    <t>TestTarget tagged with decomposition_kind + component/behaviour ref + coverage_basis.</t>
  </si>
  <si>
    <t>R-CAST-2</t>
  </si>
  <si>
    <t>Every TestCase Step typed as control / trigger / data_collection / assertion.</t>
  </si>
  <si>
    <t>Every happy-path scenario paired with ≥ 1 failure scenario by iteration close.</t>
  </si>
  <si>
    <t>Replacement spec must list NEW/REPLACED/UNCHANGED. Migration ≠ duplication.</t>
  </si>
  <si>
    <t>R-METH-1..4</t>
  </si>
  <si>
    <t>Vocabulary discipline — never substitute Agile labels for CAST static slots.</t>
  </si>
  <si>
    <t>WorkPackage</t>
  </si>
  <si>
    <t>Methodology-neutral static work-unit label (replaces ad-hoc 'Epic').</t>
  </si>
  <si>
    <t>trigger_point</t>
  </si>
  <si>
    <t>User action / system event / timer (CAST step kind).</t>
  </si>
  <si>
    <t>control_point</t>
  </si>
  <si>
    <t>Decision / branch in the flow (CAST step kind).</t>
  </si>
  <si>
    <t>data_collection_point</t>
  </si>
  <si>
    <t>State observation — DOM read, network capture, log assertion (CAST step kind).</t>
  </si>
  <si>
    <t>assertion</t>
  </si>
  <si>
    <t>Expected-vs-actual check (CAST step kind).</t>
  </si>
  <si>
    <t>PS</t>
  </si>
  <si>
    <t>Pojistná smlouva (insurance contract)</t>
  </si>
  <si>
    <t>Pojistná smlouva.</t>
  </si>
  <si>
    <t>DN</t>
  </si>
  <si>
    <t>Dopravní nehoda (traffic accident)</t>
  </si>
  <si>
    <t>Dopravní nehoda.</t>
  </si>
  <si>
    <t>ČAP</t>
  </si>
  <si>
    <t>Czech Insurance Association</t>
  </si>
  <si>
    <t>Česká asociace pojišťoven; mateřská organizace SUPIN.</t>
  </si>
  <si>
    <t>DB</t>
  </si>
  <si>
    <t>Database</t>
  </si>
  <si>
    <t>Databáze.</t>
  </si>
  <si>
    <t>WS</t>
  </si>
  <si>
    <t>Web service</t>
  </si>
  <si>
    <t>Web service (webové služby).</t>
  </si>
  <si>
    <t>RPO</t>
  </si>
  <si>
    <t>Recovery Point Objective</t>
  </si>
  <si>
    <t>Hodnota RPO (Recovery Point Objective) říká, ke kterému bodu z minulosti lze obnovit data, respektive udává maximální dobu výpadku, a tedy i ztráty dat.</t>
  </si>
  <si>
    <t>RTO</t>
  </si>
  <si>
    <t>Recovery Time Objective</t>
  </si>
  <si>
    <t>Hodnota RTO (Recovery Time Objective) vyjadřuje maximální dobu, za kterou by mělo dojít k zotavení po výpadku.</t>
  </si>
  <si>
    <t>MTPD</t>
  </si>
  <si>
    <t>Maximum Tolerable Period of Disruption</t>
  </si>
  <si>
    <t>Maximální akceptovatelná doba výpadku.</t>
  </si>
  <si>
    <t>MTDL</t>
  </si>
  <si>
    <t>Maximum Tolerable Data Loss</t>
  </si>
  <si>
    <t>Maximální akceptovatelná ztráta dat.</t>
  </si>
  <si>
    <t>IP</t>
  </si>
  <si>
    <t>Internet Protocol</t>
  </si>
  <si>
    <t>Internetový protokol; v sítích TCP/IP základní protokol síťové vrstvy poskytující datagramovou službu.</t>
  </si>
  <si>
    <t>HTTP</t>
  </si>
  <si>
    <t>Hypertext Transfer Protocol</t>
  </si>
  <si>
    <t>Hypertext Transfer Protocol — internetový protokol určený pro komunikaci s WWW servery.</t>
  </si>
  <si>
    <t>DoS</t>
  </si>
  <si>
    <t>Denial-of-Service</t>
  </si>
  <si>
    <t>Denial-of-service (česky odepření služby) — typ útoku na internetové služby; cílem je cílovou službu znefunkčnit a znepřístupnit ostatním účastníkům.</t>
  </si>
  <si>
    <t>UC</t>
  </si>
  <si>
    <t>Use Case</t>
  </si>
  <si>
    <t>Případ užití.</t>
  </si>
  <si>
    <t>CSV</t>
  </si>
  <si>
    <t>Comma-Separated Values</t>
  </si>
  <si>
    <t>Hodnoty oddělené čárkami; jednoduchý souborový formát pro výměnu tabulkových dat.</t>
  </si>
  <si>
    <t>XML</t>
  </si>
  <si>
    <t>Extensible Markup Language</t>
  </si>
  <si>
    <t>Obecný značkovací jazyk.</t>
  </si>
  <si>
    <t>XSD</t>
  </si>
  <si>
    <t>XML Schema</t>
  </si>
  <si>
    <t>XML Schema — jeden z jazyků pro popis XML.</t>
  </si>
  <si>
    <t>WAF</t>
  </si>
  <si>
    <t>Web Application Firewall</t>
  </si>
  <si>
    <t>Web application firewall; chrání webové aplikace před různými typy útoků na aplikační vrstvě.</t>
  </si>
  <si>
    <t>BE</t>
  </si>
  <si>
    <t>Back-End</t>
  </si>
  <si>
    <t>Vrstva aplikace operující s daty.</t>
  </si>
  <si>
    <t>FE</t>
  </si>
  <si>
    <t>Front-End</t>
  </si>
  <si>
    <t>Prezentační vrstva aplikace.</t>
  </si>
  <si>
    <t>SW</t>
  </si>
  <si>
    <t>Software</t>
  </si>
  <si>
    <t>Programové vybavení.</t>
  </si>
  <si>
    <t>HW</t>
  </si>
  <si>
    <t>Hardware</t>
  </si>
  <si>
    <t>Fyzicky existující technické vybavení.</t>
  </si>
  <si>
    <t>SOAP</t>
  </si>
  <si>
    <t>Protokol pro výměnu zpráv založených na XML přes síť, hlavně pomocí HTTP.</t>
  </si>
  <si>
    <t>REST</t>
  </si>
  <si>
    <t>Protokol pro výměnu zpráv založených primárně na JSON přes síť, hlavně pomocí HTTP.</t>
  </si>
  <si>
    <t>Účastník</t>
  </si>
  <si>
    <t>Participant</t>
  </si>
  <si>
    <t>Osoba, která vyplňuje hlášení o dopravní nehodě. (Legální/business term — používán v celé dokumentaci namísto 'uživatel'.)</t>
  </si>
  <si>
    <t>Ověřený účastník</t>
  </si>
  <si>
    <t>Verified participant</t>
  </si>
  <si>
    <t>Účastník nehody, který v hlášení nehody již ověřil své tel. číslo.</t>
  </si>
  <si>
    <t>Web Content Accessibility Guidelines (WCAG) — mezinárodní standardy zajišťující, aby webové aplikace a obsah byly přístupné pro co nejširší spektrum účastníků, včetně osob se zdravotním postižením.</t>
  </si>
  <si>
    <t>MVP</t>
  </si>
  <si>
    <t>Minimum Viable Product</t>
  </si>
  <si>
    <t>Minimum Viable Product (minimální životaschopný produkt) — nejjednodušší verze produktu, která obsahuje pouze klíčové funkce nezbytné pro to, aby se dala ověřit jeho hodnota pro zákazníky a získat jejich zpětná vazba.</t>
  </si>
  <si>
    <t>IZS</t>
  </si>
  <si>
    <t>Integrated Rescue System</t>
  </si>
  <si>
    <t>Integrovaný záchranný systém (Hasičský záchranný sbor, Policie, Zdravotnická záchranná služba). Aplikace generuje QR kód s ID hlášení DN právě pro IZS.</t>
  </si>
  <si>
    <t>AISPOV</t>
  </si>
  <si>
    <t>AISPOV (SUPIN-hosted gateway)</t>
  </si>
  <si>
    <t>Servisní rozhraní hostované SUPIN. Proxy přístup k registrům: ROB (Registr obyvatel), CRR (Centrální registr řidičů), CRV (Centrální registr vozidel), Evidence pojištěných vozidel.</t>
  </si>
  <si>
    <t>ROB</t>
  </si>
  <si>
    <t>Registry of Inhabitants</t>
  </si>
  <si>
    <t>Registr obyvatel — základní český veřejný registr osob; používán AISPOV pro identifikační lookup.</t>
  </si>
  <si>
    <t>CRR</t>
  </si>
  <si>
    <t>Central Driver Registry</t>
  </si>
  <si>
    <t>Centrální registr řidičů — používán AISPOV pro lookup čísla ŘP, skupin oprávnění, vydávajícího orgánu.</t>
  </si>
  <si>
    <t>CRV</t>
  </si>
  <si>
    <t>Central Vehicle Registry</t>
  </si>
  <si>
    <t>Centrální registr vozidel — používán AISPOV pro lookup značky, modelu, roku výroby, VIN.</t>
  </si>
  <si>
    <t>RUIAN</t>
  </si>
  <si>
    <t>Address Autocomplete Registry</t>
  </si>
  <si>
    <t>Registr územní identifikace, adres a nemovitostí. Používán pro našeptávač adres.</t>
  </si>
  <si>
    <t>zenID</t>
  </si>
  <si>
    <t>zenID OCR Vendor</t>
  </si>
  <si>
    <t>Třetí strana — komerční OCR/identitní SDK. Používán ve dvou variantách: zenID WebSDK (kamerový, klient-side) a zenID API (gallery upload, server-side).</t>
  </si>
  <si>
    <t>ID hlášení DN</t>
  </si>
  <si>
    <t>Accident Report ID</t>
  </si>
  <si>
    <t>Interní ID hlášení dopravní nehody; prezentován jako QR pro IZS; vložen do výsledného PDF; formát KodDN '999999625000001' (organizace + rok + sekvenční ID).</t>
  </si>
  <si>
    <t>accidentReportStatus</t>
  </si>
  <si>
    <t>Report state machine</t>
  </si>
  <si>
    <t>Stav hlášení; enum: NEW → IN_PROGRESS_DRIVERS → IN_PROGRESS_VEHICLES → IN_PROGRESS_CIRCUMSTANCES → TO_SIGN → FINISHED. Plus terminální CANCEL a ERROR (s pod-reasons SMS_CODE_ATTEMPTS, TELEPHONE_NUMBER_COUNT, EX_CHYBA, AISPOV_ROB_NENALEZENO atd.).</t>
  </si>
  <si>
    <t>Changelog</t>
  </si>
  <si>
    <t>Date</t>
  </si>
  <si>
    <t>Author</t>
  </si>
  <si>
    <t>Change summary</t>
  </si>
  <si>
    <t>v0.1.0</t>
  </si>
  <si>
    <t>Opus task-force / CP-SUPIN-02</t>
  </si>
  <si>
    <t>Initial seed — 11 sheets per scope §5.1; 6 TestTargets + 4 TestCases + 4 TestData + 1 TestSet + 3 Envs; ItemBase column block per §5.2; priority computed via Sev+Urg matrix; verdict CF green/red/amber; mobile-first viewport spec on every TC.</t>
  </si>
  <si>
    <t>v0.1.1</t>
  </si>
  <si>
    <t>Cowork Opus / CP-SUPIN-02 rev 2</t>
  </si>
  <si>
    <t>Re-cast TestTargets along R1 / R2 release lines per user direction 2026-05-05. R1 envelope = implicit ID-based auth + wizard happy + exception states + negatively-ending. 01_TestTargets: 4 R1 TTs + 7 R2 TTs (was 6 mixed); added 'release' column (R1/R2 dropdown). 02_TestCases: TC-CP-001..004 re-mapped to R1 TTs (no traditional login surface exists). OQs CP-11/12 closed; CP-15 superseded; CP-13/14 remain open. Public driving against tst.* explicitly forbidden — recon via Chrome browser + publicly-available docs only.</t>
  </si>
  <si>
    <t>v0.1.2</t>
  </si>
  <si>
    <t>Cowork Opus / CP-SUPIN-02 rev 3</t>
  </si>
  <si>
    <t>Doc-format refinement per user direction 2026-05-05 (refinement request). Locked: TESTCASE-SPEC-FORMAT-v0.1.md (the dev-session input contract; 14 sections; step-record YAML format; selector hierarchy; env-divergence handling), TESTTARGET-LIST-FORMAT-v0.1.md (TT row contract), RECON-INPUT-EXTENSIONS-v0.2.md (NEW Template 6 per-ID-validation-case + tightened fields on Templates 1/2/3/5 + new dev_session_consumability flag). Authored: specs/TC-CP-001-SPEC.md (full happy example, 20 typed steps), specs/TC-CP-002-SPEC.md (full negative-ending example, 11 typed steps), specs/TC-CP-003-SPEC.md (skeleton — STEPs 1..20 reuse TC-CP-001 + 21..N pending), specs/TC-CP-004-SPEC.md (skeleton — 11 variants catalogued V1..V11), specs/_TC-TEMPLATE.md (empty form), specs/README.md (authoring guide). 02_TestCases: added 'dev_spec_path' column linking each TC row to its spec MD.</t>
  </si>
  <si>
    <t>v0.1.3</t>
  </si>
  <si>
    <t>Cowork Opus / CP-SUPIN-02 rev 4</t>
  </si>
  <si>
    <t>Major split + decomposition per ANALYTICAL-DOC-INTELLIGENCE-v0.2.md (analytical doc batches 1+2; pages 11–42 of 133 covered). 01_TestTargets: 11 → 18 rows (7 R1 across A1, A2, B, C, D, E, F + 11 R2). 02_TestCases: 4 → 20 rows mapped 1:1 to state-machine transitions of accidentReportStatus. NEW columns: 01_TT::state_machine_terminal_state; 02_TC::state_machine_terminal_state + state_error_subreason. ERROR sub-reasons confirmed from doc: SMS_CODE_ATTEMPTS, TELEPHONE_NUMBER_COUNT, EX_CHYBA (HTTP 422), AISPOV_ROB_NENALEZENO, AISPOV_VEHICLE_MISSING, OUTAGE_ACTIVE, ELIGIBILITY_INTERLOCK, PING_NOK, SIGN_OTP_ATTEMPTS (TBC). Confirmed integrations: zenID WebSDK + API, AISPOV (SUPIN proxy for ROB+CRR+vehicle+insurance), RUIAN, Azure Blob outage config, SMS Gateway with HTTP 422, reCaptcha, GA, SMTP. Per-TC SPEC.md rewrite deferred to CP-SUPIN-03 (4–5 SPECs per session).</t>
  </si>
  <si>
    <t>v0.1.4</t>
  </si>
  <si>
    <t>Cowork Opus / CP-SUPIN-02 rev 5</t>
  </si>
  <si>
    <t>Applied post-13:18 outstanding deltas. 02_TestCases: added 3 gap TCs (TC-CP-021 vehicle-order swap on D12; TC-CP-022 GPS vs manual-address branch on D13; TC-CP-023 fault-attribution radio on D14) — all priority B, mapped to TT-CP-R1-D, surfaced via recon/COVERAGE-GAP-ANALYSIS.md §2. 10_Glossary: refreshed 6 rows (RPO, RTO, MTPD, MTDL, WCAG, MVP) with full-text corpus per recon/cs-locale-reference/CALIBRATION-CORPUS-v0.1.md §1b cross-check.</t>
  </si>
  <si>
    <t>v0.1.5</t>
  </si>
  <si>
    <t>Cowork Opus / CP-SUPIN-02 rev 6</t>
  </si>
  <si>
    <t>Surfaced + applied remaining items from analyses post rev 5. 10_Glossary: refreshed SUPIN row to canonical 'Servisní IT organizace ČAP'; added 35 missing terms (PS, DN, ČAP, RPO, RTO, MTPD, MTDL, IP, HTTP, DoS, UC, CSV, XML, XSD, WAF, BE, FE, SW, HW, SOAP, REST, WCAG, MVP, IZS, Účastník, Ověřený účastník, AISPOV, ROB, CRR, CRV, RUIAN, zenID, ID hlášení DN, accidentReportStatus, DB, WS) per recon/cs-locale-reference/CALIBRATION-CORPUS-v0.1.md §1b. 02_TestCases: appended 4 strengthening notes to TC-CP-008/012/015/019 per recon/COVERAGE-GAP-ANALYSIS.md §4. Authored stub SPEC files for TC-CP-021/022/023 (CP-SUPIN-03 fills full step lists). Workbook stays at 67 formulas, 0 errors.</t>
  </si>
  <si>
    <t>v0.2.0</t>
  </si>
  <si>
    <t>Cowork Opus / CP-SUPIN-03</t>
  </si>
  <si>
    <t>MAJOR schema upgrade per SYNCHRO-THINKPAD-CP-SUPIN-03-2026-05-06.md §10. ADDED 9 new sheets: 00b_Requirements (20 reqs), 01b_Req_FURPS_Cartesian (200 cells with N/A justification), 01c_StateMachine (8 states + 12 transitions), 02b_TC_Parameters (8 params seeded from 7 SPECs), 02c_TC_Assertions (7 links), 02d_AssertionLibrary (15 patterns: 10 extracted + 5 forward-looking FURPS+ canonicals), 05a_TestPlan / 05b_TestSchedule / 05c_TestEstimate (per Vaněk plan≠schedule≠estimate). ADDED columns: 01_TestTargets +11 cols (furps_dimensions, CO/KDO/KDY/KDE/JAK, source_artefact_*, requirement_ref); 02_TestCases +3 (furps_dimensions, impulse_ref, diligence); 04_TestEnvironments +1 (sms_gateway_mode); 07_TestRunResults +2; 08_Bugs +2. DEPRECATED 05_TestSets → 05_TestSets_DEPRECATED. NEW 5 R-rules: R-DERIVE-1 R-FURPS-1 R-EXPAND-1 R-PLAN-2 R-CONTRACT-1. Workbook is now the LIVE EXECUTION CONTRACT (R-CONTRACT-1) — runtime spec-loader resolves params + assertions from the Excel sheets at test time.</t>
  </si>
  <si>
    <t>rev9-v0.3</t>
  </si>
  <si>
    <t>2026-05-06</t>
  </si>
  <si>
    <t>Cowork Opus / CP-SUPIN-04 STEP 12</t>
  </si>
  <si>
    <t>Bottom-up migration from live-walk evidence on demo.bouracka.cz. Added 10 new TTs (TT-CP-PHASE0..PHASE5 + IDENTIFIER + CODELISTS), 25 new TCs (TC-CP-NEW-A..Y), env_constraints column on 02_TestCases (L-WORK-11). Codelists CL-LIVE-* fully populated in fixtures. Δ matrix v0.2 → v0.3 with 8 confirmed deltas.</t>
  </si>
  <si>
    <t>rev9.1-v0.3.1</t>
  </si>
  <si>
    <t>Cowork Opus / CP-SUPIN-04 STEP 17</t>
  </si>
  <si>
    <t>BUGFIX — priority formula was inconsistent with severity × urgency matrix. User-reported case: sev=B + urg=B → priority A (should be B). Replaced the buggy formula across 00b_Requirements, 01_TestTargets, 02_TestCases, 08_Bugs with a corrected sum-based rule (s≤1→A, s=2→B, s=3→C, s≥4→D). Added new sheet 01d_PrioritySevUrgMatrix documenting the canonical matrix. Backfilled severity+urgency on 25 TC-CP-NEW-* rows that previously had only P-tagged priorities. validate_workbook.py gets a new check #11 to enforce.</t>
  </si>
  <si>
    <t>rev10-v0.3.2</t>
  </si>
  <si>
    <t>Cowork Opus / CP-SUPIN-04 STEP 18</t>
  </si>
  <si>
    <t>Fix Excel versioning + materialised priority values. Bumped 00_README front-page from v0.1 → v0.3.2 (was stale across rev2..rev9.1). Replaced priority formula cells with static computed values from the canonical matrix (non-Excel readers now see the right value immediately; previously they saw blanks until someone opened in Excel + saved). Added comment-reference on first priority cell of each ItemBase sheet pointing to 01d_PrioritySevUrgMatrix. Bumped updated_at on all ItemBase rows to 2026-05-06.</t>
  </si>
  <si>
    <t>rev11-v0.4.0</t>
  </si>
  <si>
    <t>Cowork Opus / CP-SUPIN-04 STEP 19</t>
  </si>
  <si>
    <t>Branch tagging — added applies_to_demo + applies_to_prod boolean columns across all ItemBase sheets (00b_Requirements, 01_TestTargets, 02_TestCases, 08_Bugs). Derived from env_constraints (TC sheet) or per-row hint elsewhere. AutoFilter pre-configured for one-click branch view switching. Added 00e_BranchView sheet with counts + CS instructions. Master workbook is now the single source of truth for both Bouračka (PROD) and DEMO Bouračka branches.</t>
  </si>
  <si>
    <t>rev12-v0.4.1</t>
  </si>
  <si>
    <t>Cowork Opus / CP-SUPIN-04 STEP 23</t>
  </si>
  <si>
    <t>Bug naming convention + dedup. Added 11 columns to 08_Bugs (tc_ref, assertion_code, assertion_text, first_seen, last_seen, occurrences, envs_seen, runs_seen, screenshot_ref, trace_ref, error_message). ID pattern: BUG-CP-{TC_CODE}-{ASSERT_CODE}. Detail: _specs/BUG-NAMING-CONVENTION-v0.1.md.</t>
  </si>
  <si>
    <t>rev13-v0.4.2</t>
  </si>
  <si>
    <t>Cowork Opus / CP-SUPIN-04 STEP 32</t>
  </si>
  <si>
    <t>Multi-platform testing + TestExecution Summary VUP-grade artefact. Added 13_TestExecutionSummary sheet (23 cols, TC-level run records) and 14_AssertionGateResults sheet (13 cols, per-assertion detail). Per spec _specs/TEST-EXECUTION-SUMMARY-FORMAT-v0.1-CS.md. Strategy detail _specs/MULTI-PLATFORM-TESTING-STRATEGY-v0.1-CS.md.</t>
  </si>
  <si>
    <t>Priority = Severity × Urgency — canonical matrix</t>
  </si>
  <si>
    <t>Per CP-SUPIN-04 STEP 17 (2026-05-06). Replaces the buggy v0.2/v0.3 formula.</t>
  </si>
  <si>
    <t>urg=A</t>
  </si>
  <si>
    <t>urg=B</t>
  </si>
  <si>
    <t>urg=C</t>
  </si>
  <si>
    <t>urg=D</t>
  </si>
  <si>
    <t>sev=A</t>
  </si>
  <si>
    <t>sev=B</t>
  </si>
  <si>
    <t>sev=C</t>
  </si>
  <si>
    <t>sev=D</t>
  </si>
  <si>
    <t>Equivalent rule on CODE-sum:</t>
  </si>
  <si>
    <t>Let s = CODE(severity) + CODE(urgency) - 130 (so A=65, D=68 → s∈[0..6])</t>
  </si>
  <si>
    <t xml:space="preserve">  s=0 → A   (only sev=A &amp; urg=A)</t>
  </si>
  <si>
    <t xml:space="preserve">  s=1 → A   (sev=A,urg=B  OR  sev=B,urg=A)</t>
  </si>
  <si>
    <t xml:space="preserve">  s=2 → B   (sev=A,urg=C  OR  sev=C,urg=A  OR  sev=B,urg=B)</t>
  </si>
  <si>
    <t xml:space="preserve">  s=3 → C   (sev=A,urg=D  OR  sev=B,urg=C  OR  sev=C,urg=B  OR  sev=D,urg=A)</t>
  </si>
  <si>
    <t xml:space="preserve">  s≥4 → D   (everything else)</t>
  </si>
  <si>
    <t>Bug history (v0.2/v0.3 buggy formula):</t>
  </si>
  <si>
    <t xml:space="preserve">  s≤3 → A   (overcounts: lumped sev=A/B/C × urg=A/B/C/D into A)</t>
  </si>
  <si>
    <t xml:space="preserve">  s=4  → B</t>
  </si>
  <si>
    <t xml:space="preserve">  s&gt;4  → C</t>
  </si>
  <si>
    <t xml:space="preserve">  Plus an OR(sev=D, urg=D) shortcut → "D" that broke A+D=C and B+D=D edges.</t>
  </si>
  <si>
    <t>User-reported example: sev=B + urg=B used to compute as A; matrix says B.</t>
  </si>
  <si>
    <t>comments_KP_en</t>
  </si>
  <si>
    <t>ČÚZK outage degrades gracefully to manual addressF17C14:F50C12:F50C10:F50C8:F50C6:F50C4:F50C1:FC1:F50</t>
  </si>
  <si>
    <t>On 'understand' from screen D01: PING returns OK → advance to screen D02.</t>
  </si>
  <si>
    <t>Participant A: enters CZ +420 9-digit number → OTP arrives → verified. Participant N: same. → advance to screen D03</t>
  </si>
  <si>
    <t>N wrong OTPs → limit exceeded N → ERROR/codes Endpage; accidentReportStatus=ERROR/SMS_CODE_ATTEMPTS.</t>
  </si>
  <si>
    <t>ext_ws</t>
  </si>
  <si>
    <t>STANDARD</t>
  </si>
  <si>
    <t>N8</t>
  </si>
  <si>
    <t>zenID, AISPOV-AB</t>
  </si>
  <si>
    <t>DEMO, STANDARD</t>
  </si>
  <si>
    <t>OK</t>
  </si>
  <si>
    <t>Use a number present in DB more than the config limit → ERROR Endpage; subreason=ERR_TOO_MANY_PHONE_NUMBER_OCCURRENCE.</t>
  </si>
  <si>
    <t>Wrong OTP then correct → verified; attempt count −1; advance to next participant or screen D03.</t>
  </si>
  <si>
    <t>AISPOV-AB</t>
  </si>
  <si>
    <t>User photographs OP → zenID OK → AISPOV StatusVysledek=OK → form pre-filled at screen D04.</t>
  </si>
  <si>
    <t>zenID OCR NOK → editing mode → user fills basics → advance to next participant or screen D07</t>
  </si>
  <si>
    <t>Photograph SPZ → zenID OK → confirm popup YES → AISPOV vehicle+insurance OK → form pre-filled at screen D09.</t>
  </si>
  <si>
    <t>AISPOV vehicle returns no data → editing mode without contract+green-card fields+year of manufacture.</t>
  </si>
  <si>
    <t>After all sections → screen D15 summary → SMS-OTP sign A → SMS-OTP sign N → FINISHED + 2 e-mails.</t>
  </si>
  <si>
    <t>Full happy run D00 → D18; all integrations active.</t>
  </si>
  <si>
    <t>N8, zenID, AISPOV-AB</t>
  </si>
  <si>
    <t>RÚIAN</t>
  </si>
  <si>
    <t>User marks 'injuries occurred' → warning/CTA for tel:112 displayed → clicking CTA opens tel:112 handler → user may return and continue workflow</t>
  </si>
  <si>
    <t>BOURACKA-TESTPLAN — v0.4.3 (master + branch tagging + bug dedup + TES)</t>
  </si>
  <si>
    <t>v0.4.3</t>
  </si>
  <si>
    <t>Review</t>
  </si>
  <si>
    <t>Kateřina Pankratova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</si>
</sst>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0.0%"/>
    <numFmt numFmtId="166" formatCode="yyyy\-mm\-dd"/>
  </numFmts>
  <fonts count="12" x14ac:knownFonts="1">
    <font>
      <sz val="11"/>
      <color theme="1"/>
      <name val="Calibri"/>
      <family val="2"/>
      <charset val="1"/>
    </font>
    <font>
      <b/>
      <sz val="14"/>
      <name val="Arial"/>
      <charset val="1"/>
    </font>
    <font>
      <b/>
      <sz val="10"/>
      <name val="Arial"/>
      <charset val="1"/>
    </font>
    <font>
      <sz val="10"/>
      <name val="Arial"/>
      <charset val="1"/>
    </font>
    <font>
      <b/>
      <sz val="10"/>
      <color rgb="FFFFFFFF"/>
      <name val="Arial"/>
      <charset val="1"/>
    </font>
    <font>
      <b/>
      <sz val="10"/>
      <color rgb="FFC00000"/>
      <name val="Arial"/>
      <charset val="1"/>
    </font>
    <font>
      <b/>
      <sz val="11"/>
      <color rgb="FFFFFFFF"/>
      <name val="Calibri"/>
    </font>
    <font>
      <b/>
      <sz val="14"/>
      <name val="Calibri"/>
    </font>
    <font>
      <i/>
      <sz val="11"/>
      <color rgb="FF666666"/>
      <name val="Calibri"/>
    </font>
    <font>
      <b/>
      <sz val="11"/>
      <name val="Calibri"/>
    </font>
    <font>
      <i/>
      <sz val="11"/>
      <name val="Calibri"/>
    </font>
    <font>
      <b/>
      <sz val="12"/>
      <name val="Calibri"/>
    </font>
  </fonts>
  <fills count="13">
    <fill>
      <patternFill patternType="none"/>
    </fill>
    <fill>
      <patternFill patternType="gray125"/>
    </fill>
    <fill>
      <patternFill patternType="solid">
        <fgColor rgb="FFD9E2F3"/>
        <bgColor rgb="FFD9D9D9"/>
      </patternFill>
    </fill>
    <fill>
      <patternFill patternType="solid">
        <fgColor rgb="FF1F4E79"/>
        <bgColor rgb="FF003366"/>
      </patternFill>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FFF2CC"/>
        <bgColor rgb="FFFFF2CC"/>
      </patternFill>
    </fill>
    <fill>
      <patternFill patternType="solid">
        <fgColor rgb="FFFF6B6B"/>
        <bgColor rgb="FFFF6B6B"/>
      </patternFill>
    </fill>
    <fill>
      <patternFill patternType="solid">
        <fgColor rgb="FFFFD93D"/>
        <bgColor rgb="FFFFD93D"/>
      </patternFill>
    </fill>
    <fill>
      <patternFill patternType="solid">
        <fgColor rgb="FFA8DADC"/>
        <bgColor rgb="FFA8DADC"/>
      </patternFill>
    </fill>
    <fill>
      <patternFill patternType="solid">
        <fgColor rgb="FFB0BEC5"/>
        <bgColor rgb="FFB0BEC5"/>
      </patternFill>
    </fill>
    <fill>
      <patternFill patternType="solid">
        <fgColor rgb="FFF8CBAD"/>
        <b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 fillId="0" borderId="0" xfId="0" applyFont="1"/>
    <xf numFmtId="0" fontId="2" fillId="2" borderId="0" xfId="0" applyFont="1" applyFill="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top" wrapText="1"/>
    </xf>
    <xf numFmtId="164" fontId="3" fillId="0" borderId="1" xfId="0" applyNumberFormat="1"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0" xfId="0" applyFont="1"/>
    <xf numFmtId="0" fontId="5" fillId="0" borderId="0" xfId="0" applyFont="1"/>
    <xf numFmtId="0" fontId="2" fillId="2" borderId="0" xfId="0" applyFont="1" applyFill="1"/>
    <xf numFmtId="0" fontId="4" fillId="3" borderId="0" xfId="0" applyFont="1" applyFill="1" applyAlignment="1">
      <alignment horizontal="center" vertical="center" wrapText="1"/>
    </xf>
    <xf numFmtId="165" fontId="3" fillId="0" borderId="0" xfId="0" applyNumberFormat="1" applyFont="1"/>
    <xf numFmtId="164" fontId="3" fillId="0" borderId="0" xfId="0" applyNumberFormat="1" applyFont="1" applyAlignment="1">
      <alignment horizontal="left" vertical="top" wrapText="1"/>
    </xf>
    <xf numFmtId="0" fontId="6" fillId="4" borderId="0" xfId="0" applyFont="1" applyFill="1"/>
    <xf numFmtId="0" fontId="0" fillId="5" borderId="0" xfId="0" applyFill="1"/>
    <xf numFmtId="0" fontId="0" fillId="6" borderId="0" xfId="0" applyFill="1"/>
    <xf numFmtId="0" fontId="0" fillId="7" borderId="0" xfId="0" applyFill="1"/>
    <xf numFmtId="0" fontId="7" fillId="0" borderId="0" xfId="0" applyFont="1"/>
    <xf numFmtId="0" fontId="8" fillId="0" borderId="0" xfId="0" applyFont="1"/>
    <xf numFmtId="0" fontId="6" fillId="4" borderId="0" xfId="0" applyFont="1" applyFill="1" applyAlignment="1">
      <alignment horizontal="center"/>
    </xf>
    <xf numFmtId="0" fontId="9" fillId="8" borderId="0" xfId="0" applyFont="1" applyFill="1" applyAlignment="1">
      <alignment horizontal="center"/>
    </xf>
    <xf numFmtId="0" fontId="9" fillId="9" borderId="0" xfId="0" applyFont="1" applyFill="1" applyAlignment="1">
      <alignment horizontal="center"/>
    </xf>
    <xf numFmtId="0" fontId="9" fillId="10" borderId="0" xfId="0" applyFont="1" applyFill="1" applyAlignment="1">
      <alignment horizontal="center"/>
    </xf>
    <xf numFmtId="0" fontId="9" fillId="11" borderId="0" xfId="0" applyFont="1" applyFill="1" applyAlignment="1">
      <alignment horizontal="center"/>
    </xf>
    <xf numFmtId="0" fontId="9" fillId="0" borderId="0" xfId="0" applyFont="1"/>
    <xf numFmtId="0" fontId="10" fillId="0" borderId="0" xfId="0" applyFont="1"/>
    <xf numFmtId="0" fontId="9"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9" fillId="11" borderId="1" xfId="0" applyFont="1" applyFill="1" applyBorder="1" applyAlignment="1">
      <alignment horizontal="center" vertical="center"/>
    </xf>
    <xf numFmtId="164" fontId="0" fillId="0" borderId="0" xfId="0" applyNumberFormat="1"/>
    <xf numFmtId="0" fontId="9" fillId="8" borderId="0" xfId="0" applyFont="1" applyFill="1" applyAlignment="1">
      <alignment horizontal="center" vertical="center"/>
    </xf>
    <xf numFmtId="0" fontId="9" fillId="9" borderId="0" xfId="0" applyFont="1" applyFill="1" applyAlignment="1">
      <alignment horizontal="center" vertical="center"/>
    </xf>
    <xf numFmtId="0" fontId="9" fillId="10" borderId="0" xfId="0" applyFont="1" applyFill="1" applyAlignment="1">
      <alignment horizontal="center" vertical="center"/>
    </xf>
    <xf numFmtId="166" fontId="0" fillId="0" borderId="0" xfId="0" applyNumberFormat="1"/>
    <xf numFmtId="0" fontId="9" fillId="5" borderId="0" xfId="0" applyFont="1" applyFill="1" applyAlignment="1">
      <alignment horizontal="center"/>
    </xf>
    <xf numFmtId="0" fontId="9" fillId="12" borderId="0" xfId="0" applyFont="1" applyFill="1" applyAlignment="1">
      <alignment horizontal="center"/>
    </xf>
    <xf numFmtId="0" fontId="0" fillId="0" borderId="0" xfId="0" applyAlignment="1">
      <alignment horizontal="center"/>
    </xf>
    <xf numFmtId="0" fontId="9" fillId="0" borderId="0" xfId="0" applyFont="1" applyAlignment="1">
      <alignment horizontal="center"/>
    </xf>
    <xf numFmtId="0" fontId="11" fillId="0" borderId="0" xfId="0" applyFont="1"/>
    <xf numFmtId="0" fontId="1" fillId="0" borderId="0" xfId="0" applyFont="1"/>
    <xf numFmtId="0" fontId="0" fillId="0" borderId="0" xfId="0"/>
    <xf numFmtId="14" fontId="3" fillId="0" borderId="0" xfId="0" applyNumberFormat="1" applyFont="1" applyAlignment="1">
      <alignment horizontal="left" vertical="top" wrapText="1"/>
    </xf>
  </cellXfs>
  <cellStyles count="1">
    <cellStyle name="Normální" xfId="0" builtinId="0"/>
  </cellStyles>
  <dxfs count="73">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BDD7EE"/>
        </patternFill>
      </fill>
    </dxf>
    <dxf>
      <fill>
        <patternFill>
          <bgColor rgb="FFFFD966"/>
        </patternFill>
      </fill>
    </dxf>
    <dxf>
      <fill>
        <patternFill>
          <bgColor rgb="FFD9D9D9"/>
        </patternFill>
      </fill>
    </dxf>
    <dxf>
      <fill>
        <patternFill>
          <bgColor rgb="FFF8CBAD"/>
        </patternFill>
      </fill>
    </dxf>
    <dxf>
      <fill>
        <patternFill>
          <bgColor rgb="FFC6EFCE"/>
        </patternFill>
      </fill>
    </dxf>
    <dxf>
      <fill>
        <patternFill>
          <bgColor rgb="FFF8CBAD"/>
        </patternFill>
      </fill>
    </dxf>
    <dxf>
      <fill>
        <patternFill>
          <bgColor rgb="FFD9D9D9"/>
        </patternFill>
      </fill>
    </dxf>
    <dxf>
      <fill>
        <patternFill>
          <bgColor rgb="FFC6EFCE"/>
        </patternFill>
      </fill>
    </dxf>
    <dxf>
      <fill>
        <patternFill>
          <bgColor rgb="FFFFD966"/>
        </patternFill>
      </fill>
    </dxf>
    <dxf>
      <fill>
        <patternFill>
          <bgColor rgb="FFB4C7E7"/>
        </patternFill>
      </fill>
    </dxf>
    <dxf>
      <fill>
        <patternFill>
          <bgColor rgb="FFB4C7E7"/>
        </patternFill>
      </fill>
    </dxf>
    <dxf>
      <fill>
        <patternFill>
          <bgColor rgb="FFB4C7E7"/>
        </patternFill>
      </fill>
    </dxf>
    <dxf>
      <fill>
        <patternFill>
          <bgColor rgb="FFBDD7E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F8CBAD"/>
        </patternFill>
      </fill>
    </dxf>
    <dxf>
      <fill>
        <patternFill>
          <bgColor rgb="FFD9D9D9"/>
        </patternFill>
      </fill>
    </dxf>
    <dxf>
      <fill>
        <patternFill>
          <bgColor rgb="FFC6EFCE"/>
        </patternFill>
      </fill>
    </dxf>
    <dxf>
      <fill>
        <patternFill>
          <bgColor rgb="FFFFD966"/>
        </patternFill>
      </fill>
    </dxf>
    <dxf>
      <fill>
        <patternFill>
          <bgColor rgb="FFB4C7E7"/>
        </patternFill>
      </fill>
    </dxf>
    <dxf>
      <fill>
        <patternFill>
          <bgColor rgb="FFB4C7E7"/>
        </patternFill>
      </fill>
    </dxf>
    <dxf>
      <fill>
        <patternFill>
          <bgColor rgb="FFB4C7E7"/>
        </patternFill>
      </fill>
    </dxf>
    <dxf>
      <fill>
        <patternFill>
          <bgColor rgb="FFBDD7EE"/>
        </patternFill>
      </fill>
    </dxf>
    <dxf>
      <fill>
        <patternFill>
          <bgColor rgb="FFD9D9D9"/>
        </patternFill>
      </fill>
    </dxf>
    <dxf>
      <fill>
        <patternFill>
          <bgColor rgb="FFA9D08E"/>
        </patternFill>
      </fill>
    </dxf>
    <dxf>
      <fill>
        <patternFill>
          <bgColor rgb="FFD9D9D9"/>
        </patternFill>
      </fill>
    </dxf>
    <dxf>
      <fill>
        <patternFill>
          <bgColor rgb="FFC6E0B4"/>
        </patternFill>
      </fill>
    </dxf>
    <dxf>
      <fill>
        <patternFill>
          <bgColor rgb="FFFFD966"/>
        </patternFill>
      </fill>
    </dxf>
    <dxf>
      <fill>
        <patternFill>
          <bgColor rgb="FFF4B084"/>
        </patternFill>
      </fill>
    </dxf>
    <dxf>
      <fill>
        <patternFill>
          <bgColor rgb="FFD9D9D9"/>
        </patternFill>
      </fill>
    </dxf>
    <dxf>
      <fill>
        <patternFill>
          <bgColor rgb="FFC6E0B4"/>
        </patternFill>
      </fill>
    </dxf>
    <dxf>
      <fill>
        <patternFill>
          <bgColor rgb="FFFFD966"/>
        </patternFill>
      </fill>
    </dxf>
    <dxf>
      <fill>
        <patternFill>
          <bgColor rgb="FFF4B08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C6E0B4"/>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D966"/>
      <rgbColor rgb="FFB4C7E7"/>
      <rgbColor rgb="FFF4B084"/>
      <rgbColor rgb="FFCC99FF"/>
      <rgbColor rgb="FFF8CBAD"/>
      <rgbColor rgb="FF3366FF"/>
      <rgbColor rgb="FF33CCCC"/>
      <rgbColor rgb="FF99CC00"/>
      <rgbColor rgb="FFFFCC00"/>
      <rgbColor rgb="FFFF9900"/>
      <rgbColor rgb="FFFF6600"/>
      <rgbColor rgb="FF666699"/>
      <rgbColor rgb="FFA9D08E"/>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zoomScaleNormal="100" workbookViewId="0">
      <selection activeCell="A7" sqref="A7"/>
    </sheetView>
  </sheetViews>
  <sheetFormatPr defaultColWidth="8.6328125" defaultRowHeight="14.5" x14ac:dyDescent="0.35"/>
  <cols>
    <col min="1" max="1" width="22" customWidth="1"/>
    <col min="2" max="2" width="90" customWidth="1"/>
  </cols>
  <sheetData>
    <row r="1" spans="1:2" ht="17.25" customHeight="1" x14ac:dyDescent="0.4">
      <c r="A1" s="42" t="s">
        <v>1568</v>
      </c>
      <c r="B1" s="43"/>
    </row>
    <row r="3" spans="1:2" ht="15" customHeight="1" x14ac:dyDescent="0.35">
      <c r="A3" s="2" t="s">
        <v>0</v>
      </c>
      <c r="B3" s="3" t="s">
        <v>1569</v>
      </c>
    </row>
    <row r="4" spans="1:2" ht="15" customHeight="1" x14ac:dyDescent="0.35">
      <c r="A4" s="2" t="s">
        <v>1</v>
      </c>
      <c r="B4" s="3" t="s">
        <v>2</v>
      </c>
    </row>
    <row r="5" spans="1:2" ht="15" customHeight="1" x14ac:dyDescent="0.35">
      <c r="A5" s="2" t="s">
        <v>3</v>
      </c>
      <c r="B5" s="3" t="s">
        <v>4</v>
      </c>
    </row>
    <row r="6" spans="1:2" ht="15" customHeight="1" x14ac:dyDescent="0.35">
      <c r="A6" s="2" t="s">
        <v>5</v>
      </c>
      <c r="B6" s="44">
        <v>46147</v>
      </c>
    </row>
    <row r="7" spans="1:2" ht="15" customHeight="1" x14ac:dyDescent="0.35">
      <c r="A7" s="2" t="s">
        <v>1570</v>
      </c>
      <c r="B7" s="44" t="s">
        <v>1571</v>
      </c>
    </row>
    <row r="8" spans="1:2" ht="15" customHeight="1" x14ac:dyDescent="0.35">
      <c r="A8" s="2" t="s">
        <v>7</v>
      </c>
      <c r="B8" s="3" t="s">
        <v>8</v>
      </c>
    </row>
    <row r="9" spans="1:2" ht="15" customHeight="1" x14ac:dyDescent="0.35">
      <c r="A9" s="2" t="s">
        <v>9</v>
      </c>
      <c r="B9" s="3" t="s">
        <v>10</v>
      </c>
    </row>
    <row r="10" spans="1:2" ht="15" customHeight="1" x14ac:dyDescent="0.35">
      <c r="A10" s="2" t="s">
        <v>11</v>
      </c>
      <c r="B10" s="3" t="s">
        <v>12</v>
      </c>
    </row>
    <row r="11" spans="1:2" ht="15" customHeight="1" x14ac:dyDescent="0.35">
      <c r="A11" s="2" t="s">
        <v>13</v>
      </c>
      <c r="B11" s="3" t="s">
        <v>14</v>
      </c>
    </row>
    <row r="12" spans="1:2" ht="15" customHeight="1" x14ac:dyDescent="0.35">
      <c r="A12" s="2" t="s">
        <v>15</v>
      </c>
      <c r="B12" s="3" t="s">
        <v>16</v>
      </c>
    </row>
    <row r="13" spans="1:2" ht="23.25" customHeight="1" x14ac:dyDescent="0.35">
      <c r="A13" s="2" t="s">
        <v>17</v>
      </c>
      <c r="B13" s="3" t="s">
        <v>18</v>
      </c>
    </row>
    <row r="14" spans="1:2" ht="23.25" customHeight="1" x14ac:dyDescent="0.35">
      <c r="A14" s="2" t="s">
        <v>19</v>
      </c>
      <c r="B14" s="3" t="s">
        <v>20</v>
      </c>
    </row>
    <row r="15" spans="1:2" ht="23.25" customHeight="1" x14ac:dyDescent="0.35">
      <c r="A15" s="2" t="s">
        <v>21</v>
      </c>
      <c r="B15" s="3" t="s">
        <v>22</v>
      </c>
    </row>
    <row r="16" spans="1:2" ht="23.25" customHeight="1" x14ac:dyDescent="0.35">
      <c r="A16" s="2" t="s">
        <v>23</v>
      </c>
      <c r="B16" s="3" t="s">
        <v>24</v>
      </c>
    </row>
    <row r="19" spans="1:2" ht="17.25" customHeight="1" x14ac:dyDescent="0.4">
      <c r="A19" s="42" t="s">
        <v>25</v>
      </c>
      <c r="B19" s="43"/>
    </row>
    <row r="20" spans="1:2" ht="15" customHeight="1" x14ac:dyDescent="0.35">
      <c r="A20" s="4" t="s">
        <v>26</v>
      </c>
      <c r="B20" s="3" t="s">
        <v>27</v>
      </c>
    </row>
    <row r="21" spans="1:2" ht="15" customHeight="1" x14ac:dyDescent="0.35">
      <c r="A21" s="4" t="s">
        <v>28</v>
      </c>
      <c r="B21" s="3" t="s">
        <v>29</v>
      </c>
    </row>
    <row r="22" spans="1:2" ht="15" customHeight="1" x14ac:dyDescent="0.35">
      <c r="A22" s="4" t="s">
        <v>30</v>
      </c>
      <c r="B22" s="3" t="s">
        <v>31</v>
      </c>
    </row>
    <row r="23" spans="1:2" ht="15" customHeight="1" x14ac:dyDescent="0.35">
      <c r="A23" s="4" t="s">
        <v>32</v>
      </c>
      <c r="B23" s="3" t="s">
        <v>33</v>
      </c>
    </row>
    <row r="24" spans="1:2" ht="15" customHeight="1" x14ac:dyDescent="0.35">
      <c r="A24" s="4" t="s">
        <v>34</v>
      </c>
      <c r="B24" s="3" t="s">
        <v>35</v>
      </c>
    </row>
    <row r="25" spans="1:2" ht="15" customHeight="1" x14ac:dyDescent="0.35">
      <c r="A25" s="4" t="s">
        <v>36</v>
      </c>
      <c r="B25" s="3" t="s">
        <v>37</v>
      </c>
    </row>
    <row r="26" spans="1:2" ht="15" customHeight="1" x14ac:dyDescent="0.35">
      <c r="A26" s="4" t="s">
        <v>38</v>
      </c>
      <c r="B26" s="3" t="s">
        <v>39</v>
      </c>
    </row>
    <row r="27" spans="1:2" ht="15" customHeight="1" x14ac:dyDescent="0.35">
      <c r="A27" s="4" t="s">
        <v>40</v>
      </c>
      <c r="B27" s="3" t="s">
        <v>41</v>
      </c>
    </row>
  </sheetData>
  <mergeCells count="2">
    <mergeCell ref="A19:B19"/>
    <mergeCell ref="A1:B1"/>
  </mergeCell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16" customWidth="1"/>
    <col min="3" max="4" width="36" customWidth="1"/>
    <col min="5" max="6" width="50" customWidth="1"/>
    <col min="7" max="7" width="16" customWidth="1"/>
    <col min="8" max="9" width="18" customWidth="1"/>
    <col min="10" max="10" width="28" customWidth="1"/>
    <col min="11" max="13" width="8" customWidth="1"/>
    <col min="14" max="14" width="12" customWidth="1"/>
    <col min="15" max="15" width="14" customWidth="1"/>
    <col min="16" max="16" width="50" customWidth="1"/>
  </cols>
  <sheetData>
    <row r="1" spans="1:18" ht="27.75" customHeight="1" x14ac:dyDescent="0.35">
      <c r="A1" s="5" t="s">
        <v>42</v>
      </c>
      <c r="B1" s="5" t="s">
        <v>43</v>
      </c>
      <c r="C1" s="5" t="s">
        <v>44</v>
      </c>
      <c r="D1" s="5" t="s">
        <v>45</v>
      </c>
      <c r="E1" s="5" t="s">
        <v>46</v>
      </c>
      <c r="F1" s="5" t="s">
        <v>47</v>
      </c>
      <c r="G1" s="5" t="s">
        <v>48</v>
      </c>
      <c r="H1" s="5" t="s">
        <v>49</v>
      </c>
      <c r="I1" s="5" t="s">
        <v>50</v>
      </c>
      <c r="J1" s="5" t="s">
        <v>51</v>
      </c>
      <c r="K1" s="5" t="s">
        <v>52</v>
      </c>
      <c r="L1" s="5" t="s">
        <v>53</v>
      </c>
      <c r="M1" s="5" t="s">
        <v>28</v>
      </c>
      <c r="N1" s="5" t="s">
        <v>54</v>
      </c>
      <c r="O1" s="5" t="s">
        <v>55</v>
      </c>
      <c r="P1" s="5" t="s">
        <v>56</v>
      </c>
      <c r="Q1" s="15" t="s">
        <v>57</v>
      </c>
      <c r="R1" s="15" t="s">
        <v>58</v>
      </c>
    </row>
    <row r="2" spans="1:18" ht="23.25" customHeight="1" x14ac:dyDescent="0.35">
      <c r="A2" s="6">
        <v>1</v>
      </c>
      <c r="B2" s="6" t="s">
        <v>59</v>
      </c>
      <c r="C2" s="6" t="s">
        <v>60</v>
      </c>
      <c r="D2" s="6" t="s">
        <v>61</v>
      </c>
      <c r="E2" s="6" t="s">
        <v>62</v>
      </c>
      <c r="F2" s="6" t="s">
        <v>63</v>
      </c>
      <c r="G2" s="6" t="s">
        <v>64</v>
      </c>
      <c r="H2" s="6" t="s">
        <v>65</v>
      </c>
      <c r="I2" s="6" t="s">
        <v>66</v>
      </c>
      <c r="J2" s="6" t="s">
        <v>67</v>
      </c>
      <c r="K2" s="6" t="s">
        <v>68</v>
      </c>
      <c r="L2" s="6" t="s">
        <v>68</v>
      </c>
      <c r="M2" s="28" t="s">
        <v>68</v>
      </c>
      <c r="N2" s="6" t="s">
        <v>69</v>
      </c>
      <c r="O2" s="7">
        <v>46148</v>
      </c>
      <c r="P2" s="6"/>
      <c r="Q2" s="37" t="s">
        <v>70</v>
      </c>
      <c r="R2" s="37" t="s">
        <v>70</v>
      </c>
    </row>
    <row r="3" spans="1:18" ht="23.25" customHeight="1" x14ac:dyDescent="0.35">
      <c r="A3" s="6">
        <v>2</v>
      </c>
      <c r="B3" s="6" t="s">
        <v>71</v>
      </c>
      <c r="C3" s="6" t="s">
        <v>72</v>
      </c>
      <c r="D3" s="6" t="s">
        <v>73</v>
      </c>
      <c r="E3" s="6" t="s">
        <v>74</v>
      </c>
      <c r="F3" s="6" t="s">
        <v>75</v>
      </c>
      <c r="G3" s="6" t="s">
        <v>64</v>
      </c>
      <c r="H3" s="6" t="s">
        <v>65</v>
      </c>
      <c r="I3" s="6" t="s">
        <v>66</v>
      </c>
      <c r="J3" s="6" t="s">
        <v>76</v>
      </c>
      <c r="K3" s="6" t="s">
        <v>68</v>
      </c>
      <c r="L3" s="6" t="s">
        <v>68</v>
      </c>
      <c r="M3" s="28" t="s">
        <v>68</v>
      </c>
      <c r="N3" s="6" t="s">
        <v>69</v>
      </c>
      <c r="O3" s="7">
        <v>46148</v>
      </c>
      <c r="P3" s="6"/>
      <c r="Q3" s="37" t="s">
        <v>70</v>
      </c>
      <c r="R3" s="37" t="s">
        <v>70</v>
      </c>
    </row>
    <row r="4" spans="1:18" ht="23.25" customHeight="1" x14ac:dyDescent="0.35">
      <c r="A4" s="6">
        <v>3</v>
      </c>
      <c r="B4" s="6" t="s">
        <v>77</v>
      </c>
      <c r="C4" s="6" t="s">
        <v>78</v>
      </c>
      <c r="D4" s="6" t="s">
        <v>79</v>
      </c>
      <c r="E4" s="6" t="s">
        <v>80</v>
      </c>
      <c r="F4" s="6" t="s">
        <v>81</v>
      </c>
      <c r="G4" s="6" t="s">
        <v>64</v>
      </c>
      <c r="H4" s="6" t="s">
        <v>82</v>
      </c>
      <c r="I4" s="6" t="s">
        <v>83</v>
      </c>
      <c r="J4" s="6" t="s">
        <v>84</v>
      </c>
      <c r="K4" s="6" t="s">
        <v>68</v>
      </c>
      <c r="L4" s="6" t="s">
        <v>68</v>
      </c>
      <c r="M4" s="28" t="s">
        <v>68</v>
      </c>
      <c r="N4" s="6" t="s">
        <v>69</v>
      </c>
      <c r="O4" s="7">
        <v>46148</v>
      </c>
      <c r="P4" s="6"/>
      <c r="Q4" s="37" t="s">
        <v>70</v>
      </c>
      <c r="R4" s="37" t="s">
        <v>70</v>
      </c>
    </row>
    <row r="5" spans="1:18" ht="23.25" customHeight="1" x14ac:dyDescent="0.35">
      <c r="A5" s="6">
        <v>4</v>
      </c>
      <c r="B5" s="6" t="s">
        <v>85</v>
      </c>
      <c r="C5" s="6" t="s">
        <v>86</v>
      </c>
      <c r="D5" s="6" t="s">
        <v>87</v>
      </c>
      <c r="E5" s="6" t="s">
        <v>88</v>
      </c>
      <c r="F5" s="6" t="s">
        <v>89</v>
      </c>
      <c r="G5" s="6" t="s">
        <v>90</v>
      </c>
      <c r="H5" s="6" t="s">
        <v>91</v>
      </c>
      <c r="I5" s="6" t="s">
        <v>66</v>
      </c>
      <c r="J5" s="6" t="s">
        <v>92</v>
      </c>
      <c r="K5" s="6" t="s">
        <v>68</v>
      </c>
      <c r="L5" s="6" t="s">
        <v>93</v>
      </c>
      <c r="M5" s="28" t="s">
        <v>68</v>
      </c>
      <c r="N5" s="6" t="s">
        <v>69</v>
      </c>
      <c r="O5" s="7">
        <v>46148</v>
      </c>
      <c r="P5" s="6"/>
      <c r="Q5" s="37" t="s">
        <v>70</v>
      </c>
      <c r="R5" s="37" t="s">
        <v>70</v>
      </c>
    </row>
    <row r="6" spans="1:18" ht="23.25" customHeight="1" x14ac:dyDescent="0.35">
      <c r="A6" s="6">
        <v>5</v>
      </c>
      <c r="B6" s="6" t="s">
        <v>94</v>
      </c>
      <c r="C6" s="6" t="s">
        <v>95</v>
      </c>
      <c r="D6" s="6" t="s">
        <v>96</v>
      </c>
      <c r="E6" s="6" t="s">
        <v>97</v>
      </c>
      <c r="F6" s="6" t="s">
        <v>98</v>
      </c>
      <c r="G6" s="6" t="s">
        <v>90</v>
      </c>
      <c r="H6" s="6" t="s">
        <v>99</v>
      </c>
      <c r="I6" s="6" t="s">
        <v>100</v>
      </c>
      <c r="J6" s="6" t="s">
        <v>101</v>
      </c>
      <c r="K6" s="6" t="s">
        <v>68</v>
      </c>
      <c r="L6" s="6" t="s">
        <v>68</v>
      </c>
      <c r="M6" s="28" t="s">
        <v>68</v>
      </c>
      <c r="N6" s="6" t="s">
        <v>69</v>
      </c>
      <c r="O6" s="7">
        <v>46148</v>
      </c>
      <c r="P6" s="6"/>
      <c r="Q6" s="37" t="s">
        <v>70</v>
      </c>
      <c r="R6" s="37" t="s">
        <v>70</v>
      </c>
    </row>
    <row r="7" spans="1:18" ht="23.25" customHeight="1" x14ac:dyDescent="0.35">
      <c r="A7" s="6">
        <v>6</v>
      </c>
      <c r="B7" s="6" t="s">
        <v>102</v>
      </c>
      <c r="C7" s="6" t="s">
        <v>103</v>
      </c>
      <c r="D7" s="6" t="s">
        <v>103</v>
      </c>
      <c r="E7" s="6" t="s">
        <v>104</v>
      </c>
      <c r="F7" s="6" t="s">
        <v>105</v>
      </c>
      <c r="G7" s="6" t="s">
        <v>64</v>
      </c>
      <c r="H7" s="6" t="s">
        <v>106</v>
      </c>
      <c r="I7" s="6" t="s">
        <v>66</v>
      </c>
      <c r="J7" s="6" t="s">
        <v>107</v>
      </c>
      <c r="K7" s="6" t="s">
        <v>68</v>
      </c>
      <c r="L7" s="6" t="s">
        <v>68</v>
      </c>
      <c r="M7" s="28" t="s">
        <v>68</v>
      </c>
      <c r="N7" s="6" t="s">
        <v>69</v>
      </c>
      <c r="O7" s="7">
        <v>46148</v>
      </c>
      <c r="P7" s="6"/>
      <c r="Q7" s="37" t="s">
        <v>70</v>
      </c>
      <c r="R7" s="37" t="s">
        <v>70</v>
      </c>
    </row>
    <row r="8" spans="1:18" ht="23.25" customHeight="1" x14ac:dyDescent="0.35">
      <c r="A8" s="6">
        <v>7</v>
      </c>
      <c r="B8" s="6" t="s">
        <v>108</v>
      </c>
      <c r="C8" s="6" t="s">
        <v>109</v>
      </c>
      <c r="D8" s="6" t="s">
        <v>109</v>
      </c>
      <c r="E8" s="6" t="s">
        <v>110</v>
      </c>
      <c r="F8" s="6" t="s">
        <v>111</v>
      </c>
      <c r="G8" s="6" t="s">
        <v>64</v>
      </c>
      <c r="H8" s="6" t="s">
        <v>106</v>
      </c>
      <c r="I8" s="6" t="s">
        <v>66</v>
      </c>
      <c r="J8" s="6" t="s">
        <v>112</v>
      </c>
      <c r="K8" s="6" t="s">
        <v>68</v>
      </c>
      <c r="L8" s="6" t="s">
        <v>68</v>
      </c>
      <c r="M8" s="28" t="s">
        <v>68</v>
      </c>
      <c r="N8" s="6" t="s">
        <v>69</v>
      </c>
      <c r="O8" s="7">
        <v>46148</v>
      </c>
      <c r="P8" s="6"/>
      <c r="Q8" s="37" t="s">
        <v>70</v>
      </c>
      <c r="R8" s="37" t="s">
        <v>70</v>
      </c>
    </row>
    <row r="9" spans="1:18" ht="23.25" customHeight="1" x14ac:dyDescent="0.35">
      <c r="A9" s="6">
        <v>8</v>
      </c>
      <c r="B9" s="6" t="s">
        <v>113</v>
      </c>
      <c r="C9" s="6" t="s">
        <v>114</v>
      </c>
      <c r="D9" s="6" t="s">
        <v>114</v>
      </c>
      <c r="E9" s="6" t="s">
        <v>115</v>
      </c>
      <c r="F9" s="6" t="s">
        <v>116</v>
      </c>
      <c r="G9" s="6" t="s">
        <v>64</v>
      </c>
      <c r="H9" s="6" t="s">
        <v>106</v>
      </c>
      <c r="I9" s="6" t="s">
        <v>66</v>
      </c>
      <c r="J9" s="6" t="s">
        <v>117</v>
      </c>
      <c r="K9" s="6" t="s">
        <v>68</v>
      </c>
      <c r="L9" s="6" t="s">
        <v>68</v>
      </c>
      <c r="M9" s="28" t="s">
        <v>68</v>
      </c>
      <c r="N9" s="6" t="s">
        <v>69</v>
      </c>
      <c r="O9" s="7">
        <v>46148</v>
      </c>
      <c r="P9" s="6"/>
      <c r="Q9" s="37" t="s">
        <v>70</v>
      </c>
      <c r="R9" s="37" t="s">
        <v>70</v>
      </c>
    </row>
    <row r="10" spans="1:18" ht="23.25" customHeight="1" x14ac:dyDescent="0.35">
      <c r="A10" s="6">
        <v>9</v>
      </c>
      <c r="B10" s="6" t="s">
        <v>118</v>
      </c>
      <c r="C10" s="6" t="s">
        <v>119</v>
      </c>
      <c r="D10" s="6" t="s">
        <v>120</v>
      </c>
      <c r="E10" s="6" t="s">
        <v>121</v>
      </c>
      <c r="F10" s="6" t="s">
        <v>122</v>
      </c>
      <c r="G10" s="6" t="s">
        <v>64</v>
      </c>
      <c r="H10" s="6" t="s">
        <v>82</v>
      </c>
      <c r="I10" s="6" t="s">
        <v>123</v>
      </c>
      <c r="J10" s="6" t="s">
        <v>124</v>
      </c>
      <c r="K10" s="6" t="s">
        <v>68</v>
      </c>
      <c r="L10" s="6" t="s">
        <v>93</v>
      </c>
      <c r="M10" s="28" t="s">
        <v>68</v>
      </c>
      <c r="N10" s="6" t="s">
        <v>69</v>
      </c>
      <c r="O10" s="7">
        <v>46148</v>
      </c>
      <c r="P10" s="6"/>
      <c r="Q10" s="37" t="s">
        <v>70</v>
      </c>
      <c r="R10" s="37" t="s">
        <v>70</v>
      </c>
    </row>
    <row r="11" spans="1:18" ht="23.25" customHeight="1" x14ac:dyDescent="0.35">
      <c r="A11" s="6">
        <v>10</v>
      </c>
      <c r="B11" s="6" t="s">
        <v>125</v>
      </c>
      <c r="C11" s="6" t="s">
        <v>126</v>
      </c>
      <c r="D11" s="6" t="s">
        <v>127</v>
      </c>
      <c r="E11" s="6" t="s">
        <v>128</v>
      </c>
      <c r="F11" s="6" t="s">
        <v>129</v>
      </c>
      <c r="G11" s="6" t="s">
        <v>64</v>
      </c>
      <c r="H11" s="6" t="s">
        <v>82</v>
      </c>
      <c r="I11" s="6" t="s">
        <v>66</v>
      </c>
      <c r="J11" s="6" t="s">
        <v>130</v>
      </c>
      <c r="K11" s="6" t="s">
        <v>68</v>
      </c>
      <c r="L11" s="6" t="s">
        <v>68</v>
      </c>
      <c r="M11" s="28" t="s">
        <v>68</v>
      </c>
      <c r="N11" s="6" t="s">
        <v>69</v>
      </c>
      <c r="O11" s="7">
        <v>46148</v>
      </c>
      <c r="P11" s="6"/>
      <c r="Q11" s="37" t="s">
        <v>70</v>
      </c>
      <c r="R11" s="37" t="s">
        <v>70</v>
      </c>
    </row>
    <row r="12" spans="1:18" ht="23.25" customHeight="1" x14ac:dyDescent="0.35">
      <c r="A12" s="6">
        <v>11</v>
      </c>
      <c r="B12" s="6" t="s">
        <v>131</v>
      </c>
      <c r="C12" s="6" t="s">
        <v>132</v>
      </c>
      <c r="D12" s="6" t="s">
        <v>133</v>
      </c>
      <c r="E12" s="6" t="s">
        <v>134</v>
      </c>
      <c r="F12" s="6" t="s">
        <v>135</v>
      </c>
      <c r="G12" s="6" t="s">
        <v>64</v>
      </c>
      <c r="H12" s="6" t="s">
        <v>65</v>
      </c>
      <c r="I12" s="6" t="s">
        <v>66</v>
      </c>
      <c r="J12" s="6" t="s">
        <v>136</v>
      </c>
      <c r="K12" s="6" t="s">
        <v>68</v>
      </c>
      <c r="L12" s="6" t="s">
        <v>93</v>
      </c>
      <c r="M12" s="28" t="s">
        <v>68</v>
      </c>
      <c r="N12" s="6" t="s">
        <v>69</v>
      </c>
      <c r="O12" s="7">
        <v>46148</v>
      </c>
      <c r="P12" s="6"/>
      <c r="Q12" s="37" t="s">
        <v>70</v>
      </c>
      <c r="R12" s="37" t="s">
        <v>70</v>
      </c>
    </row>
    <row r="13" spans="1:18" ht="23.25" customHeight="1" x14ac:dyDescent="0.35">
      <c r="A13" s="6">
        <v>12</v>
      </c>
      <c r="B13" s="6" t="s">
        <v>137</v>
      </c>
      <c r="C13" s="6" t="s">
        <v>138</v>
      </c>
      <c r="D13" s="6" t="s">
        <v>139</v>
      </c>
      <c r="E13" s="6" t="s">
        <v>140</v>
      </c>
      <c r="F13" s="6" t="s">
        <v>141</v>
      </c>
      <c r="G13" s="6" t="s">
        <v>64</v>
      </c>
      <c r="H13" s="6" t="s">
        <v>142</v>
      </c>
      <c r="I13" s="6" t="s">
        <v>66</v>
      </c>
      <c r="J13" s="6" t="s">
        <v>143</v>
      </c>
      <c r="K13" s="6" t="s">
        <v>68</v>
      </c>
      <c r="L13" s="6" t="s">
        <v>93</v>
      </c>
      <c r="M13" s="28" t="s">
        <v>68</v>
      </c>
      <c r="N13" s="6" t="s">
        <v>69</v>
      </c>
      <c r="O13" s="7">
        <v>46148</v>
      </c>
      <c r="P13" s="6"/>
      <c r="Q13" s="37" t="s">
        <v>70</v>
      </c>
      <c r="R13" s="37" t="s">
        <v>70</v>
      </c>
    </row>
    <row r="14" spans="1:18" ht="23.25" customHeight="1" x14ac:dyDescent="0.35">
      <c r="A14" s="6">
        <v>13</v>
      </c>
      <c r="B14" s="6" t="s">
        <v>144</v>
      </c>
      <c r="C14" s="6" t="s">
        <v>145</v>
      </c>
      <c r="D14" s="6" t="s">
        <v>146</v>
      </c>
      <c r="E14" s="6" t="s">
        <v>147</v>
      </c>
      <c r="F14" s="6" t="s">
        <v>148</v>
      </c>
      <c r="G14" s="6" t="s">
        <v>90</v>
      </c>
      <c r="H14" s="6" t="s">
        <v>149</v>
      </c>
      <c r="I14" s="6" t="s">
        <v>66</v>
      </c>
      <c r="J14" s="6" t="s">
        <v>150</v>
      </c>
      <c r="K14" s="6" t="s">
        <v>68</v>
      </c>
      <c r="L14" s="6" t="s">
        <v>68</v>
      </c>
      <c r="M14" s="28" t="s">
        <v>68</v>
      </c>
      <c r="N14" s="6" t="s">
        <v>69</v>
      </c>
      <c r="O14" s="7">
        <v>46148</v>
      </c>
      <c r="P14" s="6"/>
      <c r="Q14" s="37" t="s">
        <v>70</v>
      </c>
      <c r="R14" s="37" t="s">
        <v>70</v>
      </c>
    </row>
    <row r="15" spans="1:18" ht="23.25" customHeight="1" x14ac:dyDescent="0.35">
      <c r="A15" s="6">
        <v>14</v>
      </c>
      <c r="B15" s="6" t="s">
        <v>151</v>
      </c>
      <c r="C15" s="6" t="s">
        <v>152</v>
      </c>
      <c r="D15" s="6" t="s">
        <v>153</v>
      </c>
      <c r="E15" s="6" t="s">
        <v>154</v>
      </c>
      <c r="F15" s="6" t="s">
        <v>155</v>
      </c>
      <c r="G15" s="6" t="s">
        <v>90</v>
      </c>
      <c r="H15" s="6" t="s">
        <v>156</v>
      </c>
      <c r="I15" s="6" t="s">
        <v>66</v>
      </c>
      <c r="J15" s="6" t="s">
        <v>157</v>
      </c>
      <c r="K15" s="6" t="s">
        <v>68</v>
      </c>
      <c r="L15" s="6" t="s">
        <v>93</v>
      </c>
      <c r="M15" s="28" t="s">
        <v>68</v>
      </c>
      <c r="N15" s="6" t="s">
        <v>69</v>
      </c>
      <c r="O15" s="7">
        <v>46148</v>
      </c>
      <c r="P15" s="6"/>
      <c r="Q15" s="37" t="s">
        <v>70</v>
      </c>
      <c r="R15" s="37" t="s">
        <v>70</v>
      </c>
    </row>
    <row r="16" spans="1:18" ht="23.25" customHeight="1" x14ac:dyDescent="0.35">
      <c r="A16" s="6">
        <v>15</v>
      </c>
      <c r="B16" s="6" t="s">
        <v>158</v>
      </c>
      <c r="C16" s="6" t="s">
        <v>159</v>
      </c>
      <c r="D16" s="6" t="s">
        <v>160</v>
      </c>
      <c r="E16" s="6" t="s">
        <v>161</v>
      </c>
      <c r="F16" s="6" t="s">
        <v>162</v>
      </c>
      <c r="G16" s="6" t="s">
        <v>90</v>
      </c>
      <c r="H16" s="6" t="s">
        <v>163</v>
      </c>
      <c r="I16" s="6" t="s">
        <v>66</v>
      </c>
      <c r="J16" s="6" t="s">
        <v>92</v>
      </c>
      <c r="K16" s="6" t="s">
        <v>93</v>
      </c>
      <c r="L16" s="6" t="s">
        <v>93</v>
      </c>
      <c r="M16" s="29" t="s">
        <v>93</v>
      </c>
      <c r="N16" s="6" t="s">
        <v>69</v>
      </c>
      <c r="O16" s="7">
        <v>46148</v>
      </c>
      <c r="P16" s="6"/>
      <c r="Q16" s="37" t="s">
        <v>70</v>
      </c>
      <c r="R16" s="37" t="s">
        <v>70</v>
      </c>
    </row>
    <row r="17" spans="1:18" ht="23.25" customHeight="1" x14ac:dyDescent="0.35">
      <c r="A17" s="6">
        <v>16</v>
      </c>
      <c r="B17" s="6" t="s">
        <v>164</v>
      </c>
      <c r="C17" s="6" t="s">
        <v>165</v>
      </c>
      <c r="D17" s="6" t="s">
        <v>166</v>
      </c>
      <c r="E17" s="6" t="s">
        <v>167</v>
      </c>
      <c r="F17" s="6" t="s">
        <v>168</v>
      </c>
      <c r="G17" s="6" t="s">
        <v>64</v>
      </c>
      <c r="H17" s="6" t="s">
        <v>169</v>
      </c>
      <c r="I17" s="6" t="s">
        <v>66</v>
      </c>
      <c r="J17" s="6" t="s">
        <v>92</v>
      </c>
      <c r="K17" s="6" t="s">
        <v>68</v>
      </c>
      <c r="L17" s="6" t="s">
        <v>93</v>
      </c>
      <c r="M17" s="28" t="s">
        <v>68</v>
      </c>
      <c r="N17" s="6" t="s">
        <v>69</v>
      </c>
      <c r="O17" s="7">
        <v>46148</v>
      </c>
      <c r="P17" s="6"/>
      <c r="Q17" s="37" t="s">
        <v>70</v>
      </c>
      <c r="R17" s="37" t="s">
        <v>70</v>
      </c>
    </row>
    <row r="18" spans="1:18" ht="23.25" customHeight="1" x14ac:dyDescent="0.35">
      <c r="A18" s="6">
        <v>17</v>
      </c>
      <c r="B18" s="6" t="s">
        <v>170</v>
      </c>
      <c r="C18" s="6" t="s">
        <v>171</v>
      </c>
      <c r="D18" s="6" t="s">
        <v>172</v>
      </c>
      <c r="E18" s="6" t="s">
        <v>173</v>
      </c>
      <c r="F18" s="6" t="s">
        <v>174</v>
      </c>
      <c r="G18" s="6" t="s">
        <v>90</v>
      </c>
      <c r="H18" s="6" t="s">
        <v>82</v>
      </c>
      <c r="I18" s="6" t="s">
        <v>66</v>
      </c>
      <c r="J18" s="6" t="s">
        <v>92</v>
      </c>
      <c r="K18" s="6" t="s">
        <v>93</v>
      </c>
      <c r="L18" s="6" t="s">
        <v>93</v>
      </c>
      <c r="M18" s="29" t="s">
        <v>93</v>
      </c>
      <c r="N18" s="6" t="s">
        <v>69</v>
      </c>
      <c r="O18" s="7">
        <v>46148</v>
      </c>
      <c r="P18" s="6"/>
      <c r="Q18" s="37" t="s">
        <v>70</v>
      </c>
      <c r="R18" s="37" t="s">
        <v>70</v>
      </c>
    </row>
    <row r="19" spans="1:18" ht="23.25" customHeight="1" x14ac:dyDescent="0.35">
      <c r="A19" s="6">
        <v>18</v>
      </c>
      <c r="B19" s="6" t="s">
        <v>175</v>
      </c>
      <c r="C19" s="6" t="s">
        <v>176</v>
      </c>
      <c r="D19" s="6" t="s">
        <v>177</v>
      </c>
      <c r="E19" s="6" t="s">
        <v>178</v>
      </c>
      <c r="F19" s="6" t="s">
        <v>179</v>
      </c>
      <c r="G19" s="6" t="s">
        <v>90</v>
      </c>
      <c r="H19" s="6" t="s">
        <v>180</v>
      </c>
      <c r="I19" s="6" t="s">
        <v>66</v>
      </c>
      <c r="J19" s="6" t="s">
        <v>92</v>
      </c>
      <c r="K19" s="6" t="s">
        <v>68</v>
      </c>
      <c r="L19" s="6" t="s">
        <v>93</v>
      </c>
      <c r="M19" s="28" t="s">
        <v>68</v>
      </c>
      <c r="N19" s="6" t="s">
        <v>69</v>
      </c>
      <c r="O19" s="7">
        <v>46148</v>
      </c>
      <c r="P19" s="6"/>
      <c r="Q19" s="37" t="s">
        <v>70</v>
      </c>
      <c r="R19" s="37" t="s">
        <v>70</v>
      </c>
    </row>
    <row r="20" spans="1:18" ht="23.25" customHeight="1" x14ac:dyDescent="0.35">
      <c r="A20" s="6">
        <v>19</v>
      </c>
      <c r="B20" s="6" t="s">
        <v>181</v>
      </c>
      <c r="C20" s="6" t="s">
        <v>182</v>
      </c>
      <c r="D20" s="6" t="s">
        <v>182</v>
      </c>
      <c r="E20" s="6" t="s">
        <v>183</v>
      </c>
      <c r="F20" s="6" t="s">
        <v>184</v>
      </c>
      <c r="G20" s="6" t="s">
        <v>90</v>
      </c>
      <c r="H20" s="6" t="s">
        <v>91</v>
      </c>
      <c r="I20" s="6" t="s">
        <v>66</v>
      </c>
      <c r="J20" s="6" t="s">
        <v>92</v>
      </c>
      <c r="K20" s="6" t="s">
        <v>93</v>
      </c>
      <c r="L20" s="6" t="s">
        <v>93</v>
      </c>
      <c r="M20" s="29" t="s">
        <v>93</v>
      </c>
      <c r="N20" s="6" t="s">
        <v>69</v>
      </c>
      <c r="O20" s="7">
        <v>46148</v>
      </c>
      <c r="P20" s="6"/>
      <c r="Q20" s="37" t="s">
        <v>70</v>
      </c>
      <c r="R20" s="37" t="s">
        <v>70</v>
      </c>
    </row>
    <row r="21" spans="1:18" ht="23.25" customHeight="1" x14ac:dyDescent="0.35">
      <c r="A21" s="6">
        <v>20</v>
      </c>
      <c r="B21" s="6" t="s">
        <v>185</v>
      </c>
      <c r="C21" s="6" t="s">
        <v>186</v>
      </c>
      <c r="D21" s="6" t="s">
        <v>187</v>
      </c>
      <c r="E21" s="6" t="s">
        <v>188</v>
      </c>
      <c r="F21" s="6" t="s">
        <v>189</v>
      </c>
      <c r="G21" s="6" t="s">
        <v>90</v>
      </c>
      <c r="H21" s="6" t="s">
        <v>190</v>
      </c>
      <c r="I21" s="6" t="s">
        <v>66</v>
      </c>
      <c r="J21" s="6" t="s">
        <v>92</v>
      </c>
      <c r="K21" s="6" t="s">
        <v>68</v>
      </c>
      <c r="L21" s="6" t="s">
        <v>68</v>
      </c>
      <c r="M21" s="28" t="s">
        <v>68</v>
      </c>
      <c r="N21" s="6" t="s">
        <v>69</v>
      </c>
      <c r="O21" s="7">
        <v>46148</v>
      </c>
      <c r="P21" s="6"/>
      <c r="Q21" s="37" t="s">
        <v>70</v>
      </c>
      <c r="R21" s="37" t="s">
        <v>70</v>
      </c>
    </row>
  </sheetData>
  <autoFilter ref="A1:R21" xr:uid="{00000000-0009-0000-0000-000001000000}"/>
  <conditionalFormatting sqref="M2:M500">
    <cfRule type="cellIs" dxfId="72" priority="2" operator="equal">
      <formula>"A"</formula>
    </cfRule>
    <cfRule type="cellIs" dxfId="71" priority="3" operator="equal">
      <formula>"B"</formula>
    </cfRule>
    <cfRule type="cellIs" dxfId="70" priority="4" operator="equal">
      <formula>"C"</formula>
    </cfRule>
    <cfRule type="cellIs" dxfId="69" priority="5" operator="equal">
      <formula>"D"</formula>
    </cfRule>
  </conditionalFormatting>
  <dataValidations count="3">
    <dataValidation type="list" allowBlank="1" sqref="G2:G500" xr:uid="{00000000-0002-0000-0100-000000000000}">
      <formula1>"functional,non-functional,constraint"</formula1>
      <formula2>0</formula2>
    </dataValidation>
    <dataValidation type="list" allowBlank="1" sqref="I2:I500" xr:uid="{00000000-0002-0000-0100-000001000000}">
      <formula1>"analytical_doc,user_direction,scope_doc,field_definitions,regulation,vendor_doc"</formula1>
      <formula2>0</formula2>
    </dataValidation>
    <dataValidation type="list" allowBlank="1" sqref="K2:L500" xr:uid="{00000000-0002-0000-0100-000002000000}">
      <formula1>"A,B,C,D"</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heetViews>
  <sheetFormatPr defaultRowHeight="14.5" x14ac:dyDescent="0.35"/>
  <cols>
    <col min="1" max="1" width="110" customWidth="1"/>
  </cols>
  <sheetData>
    <row r="1" spans="1:1" ht="18.5" x14ac:dyDescent="0.45">
      <c r="A1" s="19" t="s">
        <v>191</v>
      </c>
    </row>
    <row r="3" spans="1:1" x14ac:dyDescent="0.35">
      <c r="A3" t="s">
        <v>192</v>
      </c>
    </row>
    <row r="4" spans="1:1" x14ac:dyDescent="0.35">
      <c r="A4" t="s">
        <v>193</v>
      </c>
    </row>
    <row r="5" spans="1:1" x14ac:dyDescent="0.35">
      <c r="A5" t="s">
        <v>194</v>
      </c>
    </row>
    <row r="6" spans="1:1" x14ac:dyDescent="0.35">
      <c r="A6" t="s">
        <v>195</v>
      </c>
    </row>
    <row r="7" spans="1:1" x14ac:dyDescent="0.35">
      <c r="A7" t="s">
        <v>196</v>
      </c>
    </row>
    <row r="8" spans="1:1" x14ac:dyDescent="0.35">
      <c r="A8" t="s">
        <v>197</v>
      </c>
    </row>
    <row r="9" spans="1:1" x14ac:dyDescent="0.35">
      <c r="A9" t="s">
        <v>198</v>
      </c>
    </row>
    <row r="11" spans="1:1" x14ac:dyDescent="0.35">
      <c r="A11" t="s">
        <v>199</v>
      </c>
    </row>
    <row r="12" spans="1:1" x14ac:dyDescent="0.35">
      <c r="A12" t="s">
        <v>200</v>
      </c>
    </row>
  </sheetData>
  <pageMargins left="0.75" right="0.75" top="1" bottom="1" header="0.5" footer="0.5"/>
  <headerFooter>
    <oddHeader>&amp;R&amp;"Aptos"&amp;10&amp;K000000 Interní / Internal&amp;1#_x000D_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9"/>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16" customWidth="1"/>
    <col min="3" max="4" width="36" customWidth="1"/>
    <col min="5" max="6" width="50" customWidth="1"/>
    <col min="7" max="7" width="14" customWidth="1"/>
    <col min="8" max="8" width="12" customWidth="1"/>
    <col min="9" max="11" width="8" customWidth="1"/>
    <col min="12" max="12" width="12" customWidth="1"/>
    <col min="13" max="13" width="14" customWidth="1"/>
    <col min="14" max="14" width="8" customWidth="1"/>
    <col min="15" max="15" width="14" customWidth="1"/>
    <col min="16" max="16" width="26" customWidth="1"/>
    <col min="17" max="17" width="38" customWidth="1"/>
    <col min="18" max="18" width="60" customWidth="1"/>
    <col min="19" max="19" width="22" customWidth="1"/>
    <col min="20" max="20" width="26" customWidth="1"/>
    <col min="21" max="22" width="22" customWidth="1"/>
    <col min="23" max="23" width="32" customWidth="1"/>
    <col min="24" max="25" width="18" customWidth="1"/>
    <col min="26" max="26" width="50" customWidth="1"/>
    <col min="27" max="27" width="18" customWidth="1"/>
    <col min="28" max="28" width="22" customWidth="1"/>
    <col min="29" max="30" width="18" customWidth="1"/>
    <col min="31" max="32" width="22" customWidth="1"/>
    <col min="33" max="33" width="18" customWidth="1"/>
    <col min="34" max="34" width="28" customWidth="1"/>
    <col min="35" max="36" width="22" customWidth="1"/>
    <col min="37" max="37" width="18" customWidth="1"/>
  </cols>
  <sheetData>
    <row r="1" spans="1:39"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203</v>
      </c>
      <c r="O1" s="5" t="s">
        <v>32</v>
      </c>
      <c r="P1" s="5" t="s">
        <v>204</v>
      </c>
      <c r="Q1" s="5" t="s">
        <v>205</v>
      </c>
      <c r="R1" s="5" t="s">
        <v>206</v>
      </c>
      <c r="S1" s="5" t="s">
        <v>207</v>
      </c>
      <c r="T1" s="5" t="s">
        <v>208</v>
      </c>
      <c r="U1" s="5" t="s">
        <v>209</v>
      </c>
      <c r="V1" s="5" t="s">
        <v>210</v>
      </c>
      <c r="W1" s="5" t="s">
        <v>211</v>
      </c>
      <c r="X1" s="5" t="s">
        <v>212</v>
      </c>
      <c r="Y1" s="5" t="s">
        <v>213</v>
      </c>
      <c r="Z1" s="5" t="s">
        <v>56</v>
      </c>
      <c r="AA1" s="5" t="s">
        <v>49</v>
      </c>
      <c r="AB1" s="5" t="s">
        <v>214</v>
      </c>
      <c r="AC1" s="5" t="s">
        <v>215</v>
      </c>
      <c r="AD1" s="5" t="s">
        <v>216</v>
      </c>
      <c r="AE1" s="5" t="s">
        <v>217</v>
      </c>
      <c r="AF1" s="5" t="s">
        <v>218</v>
      </c>
      <c r="AG1" s="5" t="s">
        <v>50</v>
      </c>
      <c r="AH1" s="5" t="s">
        <v>51</v>
      </c>
      <c r="AI1" s="5" t="s">
        <v>219</v>
      </c>
      <c r="AJ1" s="5" t="s">
        <v>220</v>
      </c>
      <c r="AK1" s="5" t="s">
        <v>221</v>
      </c>
      <c r="AL1" s="15" t="s">
        <v>57</v>
      </c>
      <c r="AM1" s="15" t="s">
        <v>58</v>
      </c>
    </row>
    <row r="2" spans="1:39" ht="23.25" customHeight="1" x14ac:dyDescent="0.35">
      <c r="A2" s="8">
        <v>1</v>
      </c>
      <c r="B2" s="8" t="s">
        <v>222</v>
      </c>
      <c r="C2" s="6" t="s">
        <v>223</v>
      </c>
      <c r="D2" s="6" t="s">
        <v>224</v>
      </c>
      <c r="E2" s="6" t="s">
        <v>225</v>
      </c>
      <c r="F2" s="6" t="s">
        <v>226</v>
      </c>
      <c r="G2" s="6" t="s">
        <v>227</v>
      </c>
      <c r="H2" s="6" t="s">
        <v>228</v>
      </c>
      <c r="I2" s="6" t="s">
        <v>68</v>
      </c>
      <c r="J2" s="6" t="s">
        <v>68</v>
      </c>
      <c r="K2" s="28" t="s">
        <v>68</v>
      </c>
      <c r="L2" s="6" t="s">
        <v>69</v>
      </c>
      <c r="M2" s="7">
        <v>46147</v>
      </c>
      <c r="N2" s="6" t="s">
        <v>229</v>
      </c>
      <c r="O2" s="6" t="s">
        <v>230</v>
      </c>
      <c r="P2" s="6"/>
      <c r="Q2" s="6" t="s">
        <v>231</v>
      </c>
      <c r="R2" s="6" t="s">
        <v>232</v>
      </c>
      <c r="S2" s="6" t="s">
        <v>233</v>
      </c>
      <c r="T2" s="6" t="s">
        <v>234</v>
      </c>
      <c r="U2" s="6" t="s">
        <v>235</v>
      </c>
      <c r="V2" s="6" t="s">
        <v>236</v>
      </c>
      <c r="W2" s="6" t="s">
        <v>237</v>
      </c>
      <c r="X2" s="7">
        <v>46147</v>
      </c>
      <c r="Y2" s="7">
        <v>46148</v>
      </c>
      <c r="Z2" s="6" t="s">
        <v>238</v>
      </c>
      <c r="AA2" s="3" t="s">
        <v>65</v>
      </c>
      <c r="AB2" s="3" t="s">
        <v>239</v>
      </c>
      <c r="AC2" s="3" t="s">
        <v>240</v>
      </c>
      <c r="AD2" s="3" t="s">
        <v>241</v>
      </c>
      <c r="AE2" s="3" t="s">
        <v>242</v>
      </c>
      <c r="AF2" s="3" t="s">
        <v>243</v>
      </c>
      <c r="AG2" s="3" t="s">
        <v>66</v>
      </c>
      <c r="AH2" s="3" t="s">
        <v>244</v>
      </c>
      <c r="AI2" s="3" t="s">
        <v>245</v>
      </c>
      <c r="AJ2" s="3" t="s">
        <v>246</v>
      </c>
      <c r="AK2" s="3" t="s">
        <v>71</v>
      </c>
      <c r="AL2" s="37" t="s">
        <v>70</v>
      </c>
      <c r="AM2" s="37" t="s">
        <v>70</v>
      </c>
    </row>
    <row r="3" spans="1:39" ht="45.75" customHeight="1" x14ac:dyDescent="0.35">
      <c r="A3" s="8">
        <v>2</v>
      </c>
      <c r="B3" s="8" t="s">
        <v>247</v>
      </c>
      <c r="C3" s="6" t="s">
        <v>248</v>
      </c>
      <c r="D3" s="6" t="s">
        <v>249</v>
      </c>
      <c r="E3" s="6" t="s">
        <v>250</v>
      </c>
      <c r="F3" s="6" t="s">
        <v>251</v>
      </c>
      <c r="G3" s="6" t="s">
        <v>227</v>
      </c>
      <c r="H3" s="6" t="s">
        <v>228</v>
      </c>
      <c r="I3" s="6" t="s">
        <v>68</v>
      </c>
      <c r="J3" s="6" t="s">
        <v>68</v>
      </c>
      <c r="K3" s="28" t="s">
        <v>68</v>
      </c>
      <c r="L3" s="6" t="s">
        <v>69</v>
      </c>
      <c r="M3" s="7">
        <v>46147</v>
      </c>
      <c r="N3" s="6" t="s">
        <v>229</v>
      </c>
      <c r="O3" s="6" t="s">
        <v>230</v>
      </c>
      <c r="P3" s="6"/>
      <c r="Q3" s="6" t="s">
        <v>252</v>
      </c>
      <c r="R3" s="6" t="s">
        <v>253</v>
      </c>
      <c r="S3" s="6" t="s">
        <v>233</v>
      </c>
      <c r="T3" s="6" t="s">
        <v>254</v>
      </c>
      <c r="U3" s="6" t="s">
        <v>255</v>
      </c>
      <c r="V3" s="6" t="s">
        <v>256</v>
      </c>
      <c r="W3" s="6" t="s">
        <v>257</v>
      </c>
      <c r="X3" s="7">
        <v>46147</v>
      </c>
      <c r="Y3" s="7">
        <v>46148</v>
      </c>
      <c r="Z3" s="6" t="s">
        <v>258</v>
      </c>
      <c r="AA3" s="3" t="s">
        <v>259</v>
      </c>
      <c r="AB3" s="3" t="s">
        <v>260</v>
      </c>
      <c r="AC3" s="3" t="s">
        <v>261</v>
      </c>
      <c r="AD3" s="3" t="s">
        <v>262</v>
      </c>
      <c r="AE3" s="3" t="s">
        <v>263</v>
      </c>
      <c r="AF3" s="3" t="s">
        <v>264</v>
      </c>
      <c r="AG3" s="3" t="s">
        <v>66</v>
      </c>
      <c r="AH3" s="3" t="s">
        <v>265</v>
      </c>
      <c r="AI3" s="3" t="s">
        <v>266</v>
      </c>
      <c r="AJ3" s="3" t="s">
        <v>246</v>
      </c>
      <c r="AK3" s="3" t="s">
        <v>71</v>
      </c>
      <c r="AL3" s="37" t="s">
        <v>70</v>
      </c>
      <c r="AM3" s="37" t="s">
        <v>70</v>
      </c>
    </row>
    <row r="4" spans="1:39" ht="34.5" customHeight="1" x14ac:dyDescent="0.35">
      <c r="A4" s="8">
        <v>3</v>
      </c>
      <c r="B4" s="8" t="s">
        <v>267</v>
      </c>
      <c r="C4" s="6" t="s">
        <v>268</v>
      </c>
      <c r="D4" s="6" t="s">
        <v>269</v>
      </c>
      <c r="E4" s="6" t="s">
        <v>270</v>
      </c>
      <c r="F4" s="6" t="s">
        <v>271</v>
      </c>
      <c r="G4" s="6" t="s">
        <v>227</v>
      </c>
      <c r="H4" s="6" t="s">
        <v>228</v>
      </c>
      <c r="I4" s="6" t="s">
        <v>68</v>
      </c>
      <c r="J4" s="6" t="s">
        <v>68</v>
      </c>
      <c r="K4" s="28" t="s">
        <v>68</v>
      </c>
      <c r="L4" s="6" t="s">
        <v>69</v>
      </c>
      <c r="M4" s="7">
        <v>46147</v>
      </c>
      <c r="N4" s="6" t="s">
        <v>229</v>
      </c>
      <c r="O4" s="6" t="s">
        <v>230</v>
      </c>
      <c r="P4" s="6"/>
      <c r="Q4" s="6" t="s">
        <v>272</v>
      </c>
      <c r="R4" s="6" t="s">
        <v>273</v>
      </c>
      <c r="S4" s="6" t="s">
        <v>233</v>
      </c>
      <c r="T4" s="6" t="s">
        <v>254</v>
      </c>
      <c r="U4" s="6" t="s">
        <v>274</v>
      </c>
      <c r="V4" s="6" t="s">
        <v>275</v>
      </c>
      <c r="W4" s="6" t="s">
        <v>276</v>
      </c>
      <c r="X4" s="7">
        <v>46147</v>
      </c>
      <c r="Y4" s="7">
        <v>46148</v>
      </c>
      <c r="Z4" s="6" t="s">
        <v>277</v>
      </c>
      <c r="AA4" s="3" t="s">
        <v>278</v>
      </c>
      <c r="AB4" s="3" t="s">
        <v>279</v>
      </c>
      <c r="AC4" s="3" t="s">
        <v>280</v>
      </c>
      <c r="AD4" s="3" t="s">
        <v>281</v>
      </c>
      <c r="AE4" s="3" t="s">
        <v>282</v>
      </c>
      <c r="AF4" s="3" t="s">
        <v>283</v>
      </c>
      <c r="AG4" s="3" t="s">
        <v>66</v>
      </c>
      <c r="AH4" s="3" t="s">
        <v>284</v>
      </c>
      <c r="AI4" s="3" t="s">
        <v>285</v>
      </c>
      <c r="AJ4" s="3" t="s">
        <v>246</v>
      </c>
      <c r="AK4" s="3" t="s">
        <v>77</v>
      </c>
      <c r="AL4" s="37" t="s">
        <v>70</v>
      </c>
      <c r="AM4" s="37" t="s">
        <v>70</v>
      </c>
    </row>
    <row r="5" spans="1:39" ht="34.5" customHeight="1" x14ac:dyDescent="0.35">
      <c r="A5" s="8">
        <v>4</v>
      </c>
      <c r="B5" s="8" t="s">
        <v>286</v>
      </c>
      <c r="C5" s="6" t="s">
        <v>287</v>
      </c>
      <c r="D5" s="6" t="s">
        <v>288</v>
      </c>
      <c r="E5" s="6" t="s">
        <v>289</v>
      </c>
      <c r="F5" s="6" t="s">
        <v>289</v>
      </c>
      <c r="G5" s="6" t="s">
        <v>227</v>
      </c>
      <c r="H5" s="6" t="s">
        <v>228</v>
      </c>
      <c r="I5" s="6" t="s">
        <v>68</v>
      </c>
      <c r="J5" s="6" t="s">
        <v>68</v>
      </c>
      <c r="K5" s="28" t="s">
        <v>68</v>
      </c>
      <c r="L5" s="6" t="s">
        <v>69</v>
      </c>
      <c r="M5" s="7">
        <v>46147</v>
      </c>
      <c r="N5" s="6" t="s">
        <v>229</v>
      </c>
      <c r="O5" s="6" t="s">
        <v>230</v>
      </c>
      <c r="P5" s="6"/>
      <c r="Q5" s="6" t="s">
        <v>290</v>
      </c>
      <c r="R5" s="6" t="s">
        <v>291</v>
      </c>
      <c r="S5" s="6" t="s">
        <v>233</v>
      </c>
      <c r="T5" s="6" t="s">
        <v>292</v>
      </c>
      <c r="U5" s="6" t="s">
        <v>293</v>
      </c>
      <c r="V5" s="6" t="s">
        <v>294</v>
      </c>
      <c r="W5" s="6" t="s">
        <v>295</v>
      </c>
      <c r="X5" s="7">
        <v>46147</v>
      </c>
      <c r="Y5" s="7">
        <v>46148</v>
      </c>
      <c r="Z5" s="6" t="s">
        <v>296</v>
      </c>
      <c r="AA5" s="3" t="s">
        <v>106</v>
      </c>
      <c r="AB5" s="3" t="s">
        <v>297</v>
      </c>
      <c r="AC5" s="3" t="s">
        <v>280</v>
      </c>
      <c r="AD5" s="3" t="s">
        <v>298</v>
      </c>
      <c r="AE5" s="3" t="s">
        <v>299</v>
      </c>
      <c r="AF5" s="3" t="s">
        <v>283</v>
      </c>
      <c r="AG5" s="3" t="s">
        <v>66</v>
      </c>
      <c r="AH5" s="3" t="s">
        <v>300</v>
      </c>
      <c r="AI5" s="3" t="s">
        <v>301</v>
      </c>
      <c r="AJ5" s="3" t="s">
        <v>246</v>
      </c>
      <c r="AK5" s="3" t="s">
        <v>113</v>
      </c>
      <c r="AL5" s="37" t="s">
        <v>70</v>
      </c>
      <c r="AM5" s="37" t="s">
        <v>70</v>
      </c>
    </row>
    <row r="6" spans="1:39" ht="34.5" customHeight="1" x14ac:dyDescent="0.35">
      <c r="A6" s="8">
        <v>5</v>
      </c>
      <c r="B6" s="8" t="s">
        <v>302</v>
      </c>
      <c r="C6" s="6" t="s">
        <v>303</v>
      </c>
      <c r="D6" s="6" t="s">
        <v>304</v>
      </c>
      <c r="E6" s="6" t="s">
        <v>305</v>
      </c>
      <c r="F6" s="6" t="s">
        <v>306</v>
      </c>
      <c r="G6" s="6" t="s">
        <v>227</v>
      </c>
      <c r="H6" s="6" t="s">
        <v>228</v>
      </c>
      <c r="I6" s="6" t="s">
        <v>68</v>
      </c>
      <c r="J6" s="6" t="s">
        <v>68</v>
      </c>
      <c r="K6" s="28" t="s">
        <v>68</v>
      </c>
      <c r="L6" s="6" t="s">
        <v>69</v>
      </c>
      <c r="M6" s="7">
        <v>46147</v>
      </c>
      <c r="N6" s="6" t="s">
        <v>229</v>
      </c>
      <c r="O6" s="6" t="s">
        <v>230</v>
      </c>
      <c r="P6" s="6"/>
      <c r="Q6" s="6" t="s">
        <v>307</v>
      </c>
      <c r="R6" s="6" t="s">
        <v>308</v>
      </c>
      <c r="S6" s="6" t="s">
        <v>233</v>
      </c>
      <c r="T6" s="6" t="s">
        <v>309</v>
      </c>
      <c r="U6" s="6" t="s">
        <v>310</v>
      </c>
      <c r="V6" s="6" t="s">
        <v>311</v>
      </c>
      <c r="W6" s="6" t="s">
        <v>312</v>
      </c>
      <c r="X6" s="7">
        <v>46147</v>
      </c>
      <c r="Y6" s="7">
        <v>46148</v>
      </c>
      <c r="Z6" s="6" t="s">
        <v>313</v>
      </c>
      <c r="AA6" s="3" t="s">
        <v>314</v>
      </c>
      <c r="AB6" s="3" t="s">
        <v>315</v>
      </c>
      <c r="AC6" s="3" t="s">
        <v>316</v>
      </c>
      <c r="AD6" s="3" t="s">
        <v>317</v>
      </c>
      <c r="AE6" s="3" t="s">
        <v>318</v>
      </c>
      <c r="AF6" s="3" t="s">
        <v>319</v>
      </c>
      <c r="AG6" s="3" t="s">
        <v>66</v>
      </c>
      <c r="AH6" s="3" t="s">
        <v>320</v>
      </c>
      <c r="AI6" s="3" t="s">
        <v>321</v>
      </c>
      <c r="AJ6" s="3" t="s">
        <v>246</v>
      </c>
      <c r="AK6" s="3" t="s">
        <v>125</v>
      </c>
      <c r="AL6" s="37" t="s">
        <v>70</v>
      </c>
      <c r="AM6" s="37" t="s">
        <v>70</v>
      </c>
    </row>
    <row r="7" spans="1:39" ht="34.5" customHeight="1" x14ac:dyDescent="0.35">
      <c r="A7" s="8">
        <v>6</v>
      </c>
      <c r="B7" s="8" t="s">
        <v>322</v>
      </c>
      <c r="C7" s="6" t="s">
        <v>323</v>
      </c>
      <c r="D7" s="6" t="s">
        <v>324</v>
      </c>
      <c r="E7" s="6" t="s">
        <v>325</v>
      </c>
      <c r="F7" s="6" t="s">
        <v>326</v>
      </c>
      <c r="G7" s="6" t="s">
        <v>227</v>
      </c>
      <c r="H7" s="6" t="s">
        <v>228</v>
      </c>
      <c r="I7" s="6" t="s">
        <v>68</v>
      </c>
      <c r="J7" s="6" t="s">
        <v>93</v>
      </c>
      <c r="K7" s="28" t="s">
        <v>68</v>
      </c>
      <c r="L7" s="6" t="s">
        <v>69</v>
      </c>
      <c r="M7" s="7">
        <v>46147</v>
      </c>
      <c r="N7" s="6" t="s">
        <v>229</v>
      </c>
      <c r="O7" s="6" t="s">
        <v>230</v>
      </c>
      <c r="P7" s="6"/>
      <c r="Q7" s="6" t="s">
        <v>327</v>
      </c>
      <c r="R7" s="6" t="s">
        <v>328</v>
      </c>
      <c r="S7" s="6" t="s">
        <v>233</v>
      </c>
      <c r="T7" s="6" t="s">
        <v>309</v>
      </c>
      <c r="U7" s="6" t="s">
        <v>329</v>
      </c>
      <c r="V7" s="6" t="s">
        <v>330</v>
      </c>
      <c r="W7" s="6" t="s">
        <v>331</v>
      </c>
      <c r="X7" s="7">
        <v>46147</v>
      </c>
      <c r="Y7" s="7">
        <v>46148</v>
      </c>
      <c r="Z7" s="6" t="s">
        <v>332</v>
      </c>
      <c r="AA7" s="3" t="s">
        <v>65</v>
      </c>
      <c r="AB7" s="3" t="s">
        <v>333</v>
      </c>
      <c r="AC7" s="3" t="s">
        <v>334</v>
      </c>
      <c r="AD7" s="3" t="s">
        <v>335</v>
      </c>
      <c r="AE7" s="3" t="s">
        <v>336</v>
      </c>
      <c r="AF7" s="3" t="s">
        <v>337</v>
      </c>
      <c r="AG7" s="3" t="s">
        <v>338</v>
      </c>
      <c r="AH7" s="3" t="s">
        <v>339</v>
      </c>
      <c r="AI7" s="3" t="s">
        <v>340</v>
      </c>
      <c r="AJ7" s="3" t="s">
        <v>341</v>
      </c>
      <c r="AK7" s="3" t="s">
        <v>59</v>
      </c>
      <c r="AL7" s="37" t="s">
        <v>70</v>
      </c>
      <c r="AM7" s="37" t="s">
        <v>70</v>
      </c>
    </row>
    <row r="8" spans="1:39" ht="34.5" customHeight="1" x14ac:dyDescent="0.35">
      <c r="A8" s="8">
        <v>7</v>
      </c>
      <c r="B8" s="8" t="s">
        <v>342</v>
      </c>
      <c r="C8" s="6" t="s">
        <v>343</v>
      </c>
      <c r="D8" s="6" t="s">
        <v>344</v>
      </c>
      <c r="E8" s="6" t="s">
        <v>345</v>
      </c>
      <c r="F8" s="6" t="s">
        <v>346</v>
      </c>
      <c r="G8" s="6" t="s">
        <v>227</v>
      </c>
      <c r="H8" s="6" t="s">
        <v>228</v>
      </c>
      <c r="I8" s="6" t="s">
        <v>68</v>
      </c>
      <c r="J8" s="6" t="s">
        <v>68</v>
      </c>
      <c r="K8" s="28" t="s">
        <v>68</v>
      </c>
      <c r="L8" s="6" t="s">
        <v>69</v>
      </c>
      <c r="M8" s="7">
        <v>46147</v>
      </c>
      <c r="N8" s="6" t="s">
        <v>229</v>
      </c>
      <c r="O8" s="6" t="s">
        <v>230</v>
      </c>
      <c r="P8" s="6"/>
      <c r="Q8" s="6" t="s">
        <v>347</v>
      </c>
      <c r="R8" s="6" t="s">
        <v>348</v>
      </c>
      <c r="S8" s="6" t="s">
        <v>233</v>
      </c>
      <c r="T8" s="6" t="s">
        <v>349</v>
      </c>
      <c r="U8" s="6" t="s">
        <v>350</v>
      </c>
      <c r="V8" s="6" t="s">
        <v>351</v>
      </c>
      <c r="W8" s="6" t="s">
        <v>352</v>
      </c>
      <c r="X8" s="7">
        <v>46147</v>
      </c>
      <c r="Y8" s="7">
        <v>46148</v>
      </c>
      <c r="Z8" s="6" t="s">
        <v>353</v>
      </c>
      <c r="AA8" s="3" t="s">
        <v>354</v>
      </c>
      <c r="AB8" s="3" t="s">
        <v>355</v>
      </c>
      <c r="AC8" s="3" t="s">
        <v>356</v>
      </c>
      <c r="AD8" s="3" t="s">
        <v>357</v>
      </c>
      <c r="AE8" s="3" t="s">
        <v>358</v>
      </c>
      <c r="AF8" s="3" t="s">
        <v>359</v>
      </c>
      <c r="AG8" s="3" t="s">
        <v>338</v>
      </c>
      <c r="AH8" s="3" t="s">
        <v>360</v>
      </c>
      <c r="AI8" s="3" t="s">
        <v>361</v>
      </c>
      <c r="AJ8" s="3" t="s">
        <v>341</v>
      </c>
      <c r="AK8" s="3" t="s">
        <v>151</v>
      </c>
      <c r="AL8" s="37" t="s">
        <v>70</v>
      </c>
      <c r="AM8" s="37" t="s">
        <v>70</v>
      </c>
    </row>
    <row r="9" spans="1:39" ht="23.25" customHeight="1" x14ac:dyDescent="0.35">
      <c r="A9" s="8">
        <v>8</v>
      </c>
      <c r="B9" s="8" t="s">
        <v>362</v>
      </c>
      <c r="C9" s="6" t="s">
        <v>363</v>
      </c>
      <c r="D9" s="6" t="s">
        <v>363</v>
      </c>
      <c r="E9" s="6" t="s">
        <v>364</v>
      </c>
      <c r="F9" s="6" t="s">
        <v>365</v>
      </c>
      <c r="G9" s="6" t="s">
        <v>227</v>
      </c>
      <c r="H9" s="6" t="s">
        <v>366</v>
      </c>
      <c r="I9" s="6" t="s">
        <v>367</v>
      </c>
      <c r="J9" s="6" t="s">
        <v>93</v>
      </c>
      <c r="K9" s="30" t="s">
        <v>367</v>
      </c>
      <c r="L9" s="6" t="s">
        <v>69</v>
      </c>
      <c r="M9" s="7">
        <v>46147</v>
      </c>
      <c r="N9" s="6" t="s">
        <v>368</v>
      </c>
      <c r="O9" s="6" t="s">
        <v>369</v>
      </c>
      <c r="P9" s="6" t="s">
        <v>370</v>
      </c>
      <c r="Q9" s="6"/>
      <c r="R9" s="6" t="s">
        <v>371</v>
      </c>
      <c r="S9" s="6" t="s">
        <v>372</v>
      </c>
      <c r="T9" s="6" t="s">
        <v>373</v>
      </c>
      <c r="U9" s="6" t="s">
        <v>374</v>
      </c>
      <c r="V9" s="6"/>
      <c r="W9" s="6" t="s">
        <v>375</v>
      </c>
      <c r="X9" s="7">
        <v>46147</v>
      </c>
      <c r="Y9" s="7">
        <v>46148</v>
      </c>
      <c r="Z9" s="6" t="s">
        <v>376</v>
      </c>
      <c r="AA9" s="3" t="s">
        <v>377</v>
      </c>
      <c r="AB9" s="3" t="s">
        <v>378</v>
      </c>
      <c r="AC9" s="3" t="s">
        <v>379</v>
      </c>
      <c r="AD9" s="3" t="s">
        <v>379</v>
      </c>
      <c r="AE9" s="3" t="s">
        <v>379</v>
      </c>
      <c r="AF9" s="3" t="s">
        <v>379</v>
      </c>
      <c r="AG9" s="3" t="s">
        <v>83</v>
      </c>
      <c r="AH9" s="3" t="s">
        <v>380</v>
      </c>
      <c r="AI9" s="3" t="s">
        <v>381</v>
      </c>
      <c r="AJ9" s="3" t="s">
        <v>341</v>
      </c>
      <c r="AK9" s="3" t="s">
        <v>59</v>
      </c>
      <c r="AL9" s="37" t="s">
        <v>70</v>
      </c>
      <c r="AM9" s="37" t="s">
        <v>70</v>
      </c>
    </row>
    <row r="10" spans="1:39" ht="23.25" customHeight="1" x14ac:dyDescent="0.35">
      <c r="A10" s="8">
        <v>9</v>
      </c>
      <c r="B10" s="8" t="s">
        <v>382</v>
      </c>
      <c r="C10" s="6" t="s">
        <v>383</v>
      </c>
      <c r="D10" s="6" t="s">
        <v>384</v>
      </c>
      <c r="E10" s="6" t="s">
        <v>385</v>
      </c>
      <c r="F10" s="6" t="s">
        <v>386</v>
      </c>
      <c r="G10" s="6" t="s">
        <v>227</v>
      </c>
      <c r="H10" s="6" t="s">
        <v>366</v>
      </c>
      <c r="I10" s="6" t="s">
        <v>93</v>
      </c>
      <c r="J10" s="6" t="s">
        <v>367</v>
      </c>
      <c r="K10" s="30" t="s">
        <v>367</v>
      </c>
      <c r="L10" s="6" t="s">
        <v>69</v>
      </c>
      <c r="M10" s="7">
        <v>46147</v>
      </c>
      <c r="N10" s="6" t="s">
        <v>368</v>
      </c>
      <c r="O10" s="6" t="s">
        <v>230</v>
      </c>
      <c r="P10" s="6"/>
      <c r="Q10" s="6" t="s">
        <v>387</v>
      </c>
      <c r="R10" s="6" t="s">
        <v>388</v>
      </c>
      <c r="S10" s="6" t="s">
        <v>372</v>
      </c>
      <c r="T10" s="6" t="s">
        <v>373</v>
      </c>
      <c r="U10" s="6" t="s">
        <v>389</v>
      </c>
      <c r="V10" s="6"/>
      <c r="W10" s="6" t="s">
        <v>390</v>
      </c>
      <c r="X10" s="7">
        <v>46147</v>
      </c>
      <c r="Y10" s="7">
        <v>46148</v>
      </c>
      <c r="Z10" s="6" t="s">
        <v>391</v>
      </c>
      <c r="AA10" s="3" t="s">
        <v>377</v>
      </c>
      <c r="AB10" s="3" t="s">
        <v>378</v>
      </c>
      <c r="AC10" s="3" t="s">
        <v>379</v>
      </c>
      <c r="AD10" s="3" t="s">
        <v>379</v>
      </c>
      <c r="AE10" s="3" t="s">
        <v>379</v>
      </c>
      <c r="AF10" s="3" t="s">
        <v>379</v>
      </c>
      <c r="AG10" s="3" t="s">
        <v>83</v>
      </c>
      <c r="AH10" s="3" t="s">
        <v>380</v>
      </c>
      <c r="AI10" s="3" t="s">
        <v>381</v>
      </c>
      <c r="AJ10" s="3" t="s">
        <v>341</v>
      </c>
      <c r="AK10" s="3" t="s">
        <v>59</v>
      </c>
      <c r="AL10" s="37" t="s">
        <v>70</v>
      </c>
      <c r="AM10" s="37" t="s">
        <v>70</v>
      </c>
    </row>
    <row r="11" spans="1:39" ht="23.25" customHeight="1" x14ac:dyDescent="0.35">
      <c r="A11" s="8">
        <v>10</v>
      </c>
      <c r="B11" s="8" t="s">
        <v>392</v>
      </c>
      <c r="C11" s="6" t="s">
        <v>393</v>
      </c>
      <c r="D11" s="6" t="s">
        <v>394</v>
      </c>
      <c r="E11" s="6" t="s">
        <v>395</v>
      </c>
      <c r="F11" s="6" t="s">
        <v>396</v>
      </c>
      <c r="G11" s="6" t="s">
        <v>227</v>
      </c>
      <c r="H11" s="6" t="s">
        <v>366</v>
      </c>
      <c r="I11" s="6" t="s">
        <v>93</v>
      </c>
      <c r="J11" s="6" t="s">
        <v>367</v>
      </c>
      <c r="K11" s="30" t="s">
        <v>367</v>
      </c>
      <c r="L11" s="6" t="s">
        <v>69</v>
      </c>
      <c r="M11" s="7">
        <v>46147</v>
      </c>
      <c r="N11" s="6" t="s">
        <v>368</v>
      </c>
      <c r="O11" s="6" t="s">
        <v>230</v>
      </c>
      <c r="P11" s="6"/>
      <c r="Q11" s="6" t="s">
        <v>397</v>
      </c>
      <c r="R11" s="6" t="s">
        <v>398</v>
      </c>
      <c r="S11" s="6" t="s">
        <v>233</v>
      </c>
      <c r="T11" s="6" t="s">
        <v>399</v>
      </c>
      <c r="U11" s="6" t="s">
        <v>400</v>
      </c>
      <c r="V11" s="6"/>
      <c r="W11" s="6"/>
      <c r="X11" s="7">
        <v>46147</v>
      </c>
      <c r="Y11" s="7">
        <v>46148</v>
      </c>
      <c r="Z11" s="6" t="s">
        <v>376</v>
      </c>
      <c r="AA11" s="3" t="s">
        <v>377</v>
      </c>
      <c r="AB11" s="3" t="s">
        <v>378</v>
      </c>
      <c r="AC11" s="3" t="s">
        <v>379</v>
      </c>
      <c r="AD11" s="3" t="s">
        <v>379</v>
      </c>
      <c r="AE11" s="3" t="s">
        <v>379</v>
      </c>
      <c r="AF11" s="3" t="s">
        <v>379</v>
      </c>
      <c r="AG11" s="3" t="s">
        <v>83</v>
      </c>
      <c r="AH11" s="3" t="s">
        <v>380</v>
      </c>
      <c r="AI11" s="3" t="s">
        <v>381</v>
      </c>
      <c r="AJ11" s="3" t="s">
        <v>341</v>
      </c>
      <c r="AK11" s="3" t="s">
        <v>59</v>
      </c>
      <c r="AL11" s="37" t="s">
        <v>70</v>
      </c>
      <c r="AM11" s="37" t="s">
        <v>70</v>
      </c>
    </row>
    <row r="12" spans="1:39" ht="23.25" customHeight="1" x14ac:dyDescent="0.35">
      <c r="A12" s="8">
        <v>11</v>
      </c>
      <c r="B12" s="8" t="s">
        <v>401</v>
      </c>
      <c r="C12" s="6" t="s">
        <v>402</v>
      </c>
      <c r="D12" s="6" t="s">
        <v>403</v>
      </c>
      <c r="E12" s="6" t="s">
        <v>404</v>
      </c>
      <c r="F12" s="6" t="s">
        <v>405</v>
      </c>
      <c r="G12" s="6" t="s">
        <v>227</v>
      </c>
      <c r="H12" s="6" t="s">
        <v>366</v>
      </c>
      <c r="I12" s="6" t="s">
        <v>93</v>
      </c>
      <c r="J12" s="6" t="s">
        <v>367</v>
      </c>
      <c r="K12" s="30" t="s">
        <v>367</v>
      </c>
      <c r="L12" s="6" t="s">
        <v>69</v>
      </c>
      <c r="M12" s="7">
        <v>46147</v>
      </c>
      <c r="N12" s="6" t="s">
        <v>368</v>
      </c>
      <c r="O12" s="6" t="s">
        <v>369</v>
      </c>
      <c r="P12" s="6" t="s">
        <v>406</v>
      </c>
      <c r="Q12" s="6"/>
      <c r="R12" s="6" t="s">
        <v>407</v>
      </c>
      <c r="S12" s="6" t="s">
        <v>233</v>
      </c>
      <c r="T12" s="6" t="s">
        <v>408</v>
      </c>
      <c r="U12" s="6" t="s">
        <v>409</v>
      </c>
      <c r="V12" s="6"/>
      <c r="W12" s="6"/>
      <c r="X12" s="7">
        <v>46147</v>
      </c>
      <c r="Y12" s="7">
        <v>46148</v>
      </c>
      <c r="Z12" s="6" t="s">
        <v>376</v>
      </c>
      <c r="AA12" s="3" t="s">
        <v>377</v>
      </c>
      <c r="AB12" s="3" t="s">
        <v>378</v>
      </c>
      <c r="AC12" s="3" t="s">
        <v>379</v>
      </c>
      <c r="AD12" s="3" t="s">
        <v>379</v>
      </c>
      <c r="AE12" s="3" t="s">
        <v>379</v>
      </c>
      <c r="AF12" s="3" t="s">
        <v>379</v>
      </c>
      <c r="AG12" s="3" t="s">
        <v>83</v>
      </c>
      <c r="AH12" s="3" t="s">
        <v>380</v>
      </c>
      <c r="AI12" s="3" t="s">
        <v>381</v>
      </c>
      <c r="AJ12" s="3" t="s">
        <v>341</v>
      </c>
      <c r="AK12" s="3" t="s">
        <v>59</v>
      </c>
      <c r="AL12" s="37" t="s">
        <v>70</v>
      </c>
      <c r="AM12" s="37" t="s">
        <v>70</v>
      </c>
    </row>
    <row r="13" spans="1:39" ht="23.25" customHeight="1" x14ac:dyDescent="0.35">
      <c r="A13" s="8">
        <v>12</v>
      </c>
      <c r="B13" s="8" t="s">
        <v>410</v>
      </c>
      <c r="C13" s="6" t="s">
        <v>411</v>
      </c>
      <c r="D13" s="6" t="s">
        <v>412</v>
      </c>
      <c r="E13" s="6" t="s">
        <v>413</v>
      </c>
      <c r="F13" s="6" t="s">
        <v>413</v>
      </c>
      <c r="G13" s="6" t="s">
        <v>227</v>
      </c>
      <c r="H13" s="6" t="s">
        <v>366</v>
      </c>
      <c r="I13" s="6" t="s">
        <v>93</v>
      </c>
      <c r="J13" s="6" t="s">
        <v>367</v>
      </c>
      <c r="K13" s="30" t="s">
        <v>367</v>
      </c>
      <c r="L13" s="6" t="s">
        <v>69</v>
      </c>
      <c r="M13" s="7">
        <v>46147</v>
      </c>
      <c r="N13" s="6" t="s">
        <v>368</v>
      </c>
      <c r="O13" s="6" t="s">
        <v>414</v>
      </c>
      <c r="P13" s="6" t="s">
        <v>415</v>
      </c>
      <c r="Q13" s="6" t="s">
        <v>416</v>
      </c>
      <c r="R13" s="6" t="s">
        <v>417</v>
      </c>
      <c r="S13" s="6" t="s">
        <v>372</v>
      </c>
      <c r="T13" s="6" t="s">
        <v>373</v>
      </c>
      <c r="U13" s="6" t="s">
        <v>418</v>
      </c>
      <c r="V13" s="6" t="s">
        <v>419</v>
      </c>
      <c r="W13" s="6"/>
      <c r="X13" s="7">
        <v>46147</v>
      </c>
      <c r="Y13" s="7">
        <v>46148</v>
      </c>
      <c r="Z13" s="6" t="s">
        <v>420</v>
      </c>
      <c r="AA13" s="3" t="s">
        <v>377</v>
      </c>
      <c r="AB13" s="3" t="s">
        <v>378</v>
      </c>
      <c r="AC13" s="3" t="s">
        <v>379</v>
      </c>
      <c r="AD13" s="3" t="s">
        <v>379</v>
      </c>
      <c r="AE13" s="3" t="s">
        <v>379</v>
      </c>
      <c r="AF13" s="3" t="s">
        <v>379</v>
      </c>
      <c r="AG13" s="3" t="s">
        <v>83</v>
      </c>
      <c r="AH13" s="3" t="s">
        <v>380</v>
      </c>
      <c r="AI13" s="3" t="s">
        <v>381</v>
      </c>
      <c r="AJ13" s="3" t="s">
        <v>341</v>
      </c>
      <c r="AK13" s="3" t="s">
        <v>59</v>
      </c>
      <c r="AL13" s="37" t="s">
        <v>70</v>
      </c>
      <c r="AM13" s="37" t="s">
        <v>70</v>
      </c>
    </row>
    <row r="14" spans="1:39" ht="23.25" customHeight="1" x14ac:dyDescent="0.35">
      <c r="A14" s="8">
        <v>13</v>
      </c>
      <c r="B14" s="8" t="s">
        <v>421</v>
      </c>
      <c r="C14" s="6" t="s">
        <v>422</v>
      </c>
      <c r="D14" s="6" t="s">
        <v>422</v>
      </c>
      <c r="E14" s="6" t="s">
        <v>423</v>
      </c>
      <c r="F14" s="6" t="s">
        <v>424</v>
      </c>
      <c r="G14" s="6" t="s">
        <v>227</v>
      </c>
      <c r="H14" s="6" t="s">
        <v>366</v>
      </c>
      <c r="I14" s="6" t="s">
        <v>367</v>
      </c>
      <c r="J14" s="6" t="s">
        <v>367</v>
      </c>
      <c r="K14" s="31" t="s">
        <v>425</v>
      </c>
      <c r="L14" s="6" t="s">
        <v>69</v>
      </c>
      <c r="M14" s="7">
        <v>46147</v>
      </c>
      <c r="N14" s="6" t="s">
        <v>368</v>
      </c>
      <c r="O14" s="6" t="s">
        <v>414</v>
      </c>
      <c r="P14" s="6" t="s">
        <v>426</v>
      </c>
      <c r="Q14" s="6" t="s">
        <v>427</v>
      </c>
      <c r="R14" s="6" t="s">
        <v>428</v>
      </c>
      <c r="S14" s="6" t="s">
        <v>372</v>
      </c>
      <c r="T14" s="6" t="s">
        <v>373</v>
      </c>
      <c r="U14" s="6" t="s">
        <v>429</v>
      </c>
      <c r="V14" s="6"/>
      <c r="W14" s="6" t="s">
        <v>430</v>
      </c>
      <c r="X14" s="7">
        <v>46147</v>
      </c>
      <c r="Y14" s="7">
        <v>46148</v>
      </c>
      <c r="Z14" s="6" t="s">
        <v>431</v>
      </c>
      <c r="AA14" s="3" t="s">
        <v>377</v>
      </c>
      <c r="AB14" s="3" t="s">
        <v>378</v>
      </c>
      <c r="AC14" s="3" t="s">
        <v>379</v>
      </c>
      <c r="AD14" s="3" t="s">
        <v>379</v>
      </c>
      <c r="AE14" s="3" t="s">
        <v>379</v>
      </c>
      <c r="AF14" s="3" t="s">
        <v>379</v>
      </c>
      <c r="AG14" s="3" t="s">
        <v>83</v>
      </c>
      <c r="AH14" s="3" t="s">
        <v>380</v>
      </c>
      <c r="AI14" s="3" t="s">
        <v>381</v>
      </c>
      <c r="AJ14" s="3" t="s">
        <v>341</v>
      </c>
      <c r="AK14" s="3" t="s">
        <v>59</v>
      </c>
      <c r="AL14" s="37" t="s">
        <v>70</v>
      </c>
      <c r="AM14" s="37" t="s">
        <v>70</v>
      </c>
    </row>
    <row r="15" spans="1:39" ht="23.25" customHeight="1" x14ac:dyDescent="0.35">
      <c r="A15" s="8">
        <v>14</v>
      </c>
      <c r="B15" s="8" t="s">
        <v>432</v>
      </c>
      <c r="C15" s="6" t="s">
        <v>433</v>
      </c>
      <c r="D15" s="6" t="s">
        <v>434</v>
      </c>
      <c r="E15" s="6" t="s">
        <v>435</v>
      </c>
      <c r="F15" s="6" t="s">
        <v>436</v>
      </c>
      <c r="G15" s="6" t="s">
        <v>227</v>
      </c>
      <c r="H15" s="6" t="s">
        <v>366</v>
      </c>
      <c r="I15" s="6" t="s">
        <v>93</v>
      </c>
      <c r="J15" s="6" t="s">
        <v>425</v>
      </c>
      <c r="K15" s="31" t="s">
        <v>425</v>
      </c>
      <c r="L15" s="6" t="s">
        <v>69</v>
      </c>
      <c r="M15" s="7">
        <v>46147</v>
      </c>
      <c r="N15" s="6" t="s">
        <v>368</v>
      </c>
      <c r="O15" s="6" t="s">
        <v>369</v>
      </c>
      <c r="P15" s="6" t="s">
        <v>437</v>
      </c>
      <c r="Q15" s="6"/>
      <c r="R15" s="6" t="s">
        <v>438</v>
      </c>
      <c r="S15" s="6" t="s">
        <v>372</v>
      </c>
      <c r="T15" s="6" t="s">
        <v>373</v>
      </c>
      <c r="U15" s="6" t="s">
        <v>439</v>
      </c>
      <c r="V15" s="6"/>
      <c r="W15" s="6"/>
      <c r="X15" s="7">
        <v>46147</v>
      </c>
      <c r="Y15" s="7">
        <v>46148</v>
      </c>
      <c r="Z15" s="6" t="s">
        <v>440</v>
      </c>
      <c r="AA15" s="3" t="s">
        <v>377</v>
      </c>
      <c r="AB15" s="3" t="s">
        <v>378</v>
      </c>
      <c r="AC15" s="3" t="s">
        <v>379</v>
      </c>
      <c r="AD15" s="3" t="s">
        <v>379</v>
      </c>
      <c r="AE15" s="3" t="s">
        <v>379</v>
      </c>
      <c r="AF15" s="3" t="s">
        <v>379</v>
      </c>
      <c r="AG15" s="3" t="s">
        <v>83</v>
      </c>
      <c r="AH15" s="3" t="s">
        <v>380</v>
      </c>
      <c r="AI15" s="3" t="s">
        <v>381</v>
      </c>
      <c r="AJ15" s="3" t="s">
        <v>341</v>
      </c>
      <c r="AK15" s="3" t="s">
        <v>59</v>
      </c>
      <c r="AL15" s="37" t="s">
        <v>70</v>
      </c>
      <c r="AM15" s="37" t="s">
        <v>70</v>
      </c>
    </row>
    <row r="16" spans="1:39" ht="23.25" customHeight="1" x14ac:dyDescent="0.35">
      <c r="A16" s="8">
        <v>15</v>
      </c>
      <c r="B16" s="8" t="s">
        <v>441</v>
      </c>
      <c r="C16" s="6" t="s">
        <v>442</v>
      </c>
      <c r="D16" s="6" t="s">
        <v>443</v>
      </c>
      <c r="E16" s="6" t="s">
        <v>444</v>
      </c>
      <c r="F16" s="6" t="s">
        <v>445</v>
      </c>
      <c r="G16" s="6" t="s">
        <v>227</v>
      </c>
      <c r="H16" s="6" t="s">
        <v>366</v>
      </c>
      <c r="I16" s="6" t="s">
        <v>367</v>
      </c>
      <c r="J16" s="6" t="s">
        <v>425</v>
      </c>
      <c r="K16" s="31" t="s">
        <v>425</v>
      </c>
      <c r="L16" s="6" t="s">
        <v>69</v>
      </c>
      <c r="M16" s="7">
        <v>46147</v>
      </c>
      <c r="N16" s="6" t="s">
        <v>368</v>
      </c>
      <c r="O16" s="6" t="s">
        <v>414</v>
      </c>
      <c r="P16" s="6" t="s">
        <v>446</v>
      </c>
      <c r="Q16" s="6"/>
      <c r="R16" s="6" t="s">
        <v>447</v>
      </c>
      <c r="S16" s="6" t="s">
        <v>372</v>
      </c>
      <c r="T16" s="6" t="s">
        <v>373</v>
      </c>
      <c r="U16" s="6" t="s">
        <v>448</v>
      </c>
      <c r="V16" s="6"/>
      <c r="W16" s="6"/>
      <c r="X16" s="7">
        <v>46147</v>
      </c>
      <c r="Y16" s="7">
        <v>46148</v>
      </c>
      <c r="Z16" s="6" t="s">
        <v>449</v>
      </c>
      <c r="AA16" s="3" t="s">
        <v>377</v>
      </c>
      <c r="AB16" s="3" t="s">
        <v>378</v>
      </c>
      <c r="AC16" s="3" t="s">
        <v>379</v>
      </c>
      <c r="AD16" s="3" t="s">
        <v>379</v>
      </c>
      <c r="AE16" s="3" t="s">
        <v>379</v>
      </c>
      <c r="AF16" s="3" t="s">
        <v>379</v>
      </c>
      <c r="AG16" s="3" t="s">
        <v>83</v>
      </c>
      <c r="AH16" s="3" t="s">
        <v>380</v>
      </c>
      <c r="AI16" s="3" t="s">
        <v>381</v>
      </c>
      <c r="AJ16" s="3" t="s">
        <v>341</v>
      </c>
      <c r="AK16" s="3" t="s">
        <v>59</v>
      </c>
      <c r="AL16" s="37" t="s">
        <v>70</v>
      </c>
      <c r="AM16" s="37" t="s">
        <v>70</v>
      </c>
    </row>
    <row r="17" spans="1:39" ht="23.25" customHeight="1" x14ac:dyDescent="0.35">
      <c r="A17" s="8">
        <v>16</v>
      </c>
      <c r="B17" s="8" t="s">
        <v>450</v>
      </c>
      <c r="C17" s="6" t="s">
        <v>451</v>
      </c>
      <c r="D17" s="6" t="s">
        <v>452</v>
      </c>
      <c r="E17" s="6" t="s">
        <v>453</v>
      </c>
      <c r="F17" s="6" t="s">
        <v>454</v>
      </c>
      <c r="G17" s="6" t="s">
        <v>227</v>
      </c>
      <c r="H17" s="6" t="s">
        <v>366</v>
      </c>
      <c r="I17" s="6" t="s">
        <v>93</v>
      </c>
      <c r="J17" s="6" t="s">
        <v>367</v>
      </c>
      <c r="K17" s="30" t="s">
        <v>367</v>
      </c>
      <c r="L17" s="6" t="s">
        <v>69</v>
      </c>
      <c r="M17" s="7">
        <v>46147</v>
      </c>
      <c r="N17" s="6" t="s">
        <v>368</v>
      </c>
      <c r="O17" s="6" t="s">
        <v>230</v>
      </c>
      <c r="P17" s="6"/>
      <c r="Q17" s="6" t="s">
        <v>455</v>
      </c>
      <c r="R17" s="6" t="s">
        <v>456</v>
      </c>
      <c r="S17" s="6" t="s">
        <v>233</v>
      </c>
      <c r="T17" s="6" t="s">
        <v>457</v>
      </c>
      <c r="U17" s="6" t="s">
        <v>458</v>
      </c>
      <c r="V17" s="6"/>
      <c r="W17" s="6"/>
      <c r="X17" s="7">
        <v>46147</v>
      </c>
      <c r="Y17" s="7">
        <v>46148</v>
      </c>
      <c r="Z17" s="6" t="s">
        <v>459</v>
      </c>
      <c r="AA17" s="3" t="s">
        <v>377</v>
      </c>
      <c r="AB17" s="3" t="s">
        <v>378</v>
      </c>
      <c r="AC17" s="3" t="s">
        <v>379</v>
      </c>
      <c r="AD17" s="3" t="s">
        <v>379</v>
      </c>
      <c r="AE17" s="3" t="s">
        <v>379</v>
      </c>
      <c r="AF17" s="3" t="s">
        <v>379</v>
      </c>
      <c r="AG17" s="3" t="s">
        <v>83</v>
      </c>
      <c r="AH17" s="3" t="s">
        <v>380</v>
      </c>
      <c r="AI17" s="3" t="s">
        <v>381</v>
      </c>
      <c r="AJ17" s="3" t="s">
        <v>341</v>
      </c>
      <c r="AK17" s="3" t="s">
        <v>59</v>
      </c>
      <c r="AL17" s="37" t="s">
        <v>70</v>
      </c>
      <c r="AM17" s="37" t="s">
        <v>70</v>
      </c>
    </row>
    <row r="18" spans="1:39" ht="23.25" customHeight="1" x14ac:dyDescent="0.35">
      <c r="A18" s="8">
        <v>17</v>
      </c>
      <c r="B18" s="8" t="s">
        <v>460</v>
      </c>
      <c r="C18" s="6" t="s">
        <v>461</v>
      </c>
      <c r="D18" s="6" t="s">
        <v>462</v>
      </c>
      <c r="E18" s="6" t="s">
        <v>463</v>
      </c>
      <c r="F18" s="6" t="s">
        <v>464</v>
      </c>
      <c r="G18" s="6" t="s">
        <v>227</v>
      </c>
      <c r="H18" s="6" t="s">
        <v>366</v>
      </c>
      <c r="I18" s="6" t="s">
        <v>93</v>
      </c>
      <c r="J18" s="6" t="s">
        <v>93</v>
      </c>
      <c r="K18" s="29" t="s">
        <v>93</v>
      </c>
      <c r="L18" s="6" t="s">
        <v>69</v>
      </c>
      <c r="M18" s="7">
        <v>46147</v>
      </c>
      <c r="N18" s="6" t="s">
        <v>368</v>
      </c>
      <c r="O18" s="6" t="s">
        <v>230</v>
      </c>
      <c r="P18" s="6"/>
      <c r="Q18" s="6" t="s">
        <v>465</v>
      </c>
      <c r="R18" s="6" t="s">
        <v>466</v>
      </c>
      <c r="S18" s="6" t="s">
        <v>467</v>
      </c>
      <c r="T18" s="6" t="s">
        <v>373</v>
      </c>
      <c r="U18" s="6" t="s">
        <v>468</v>
      </c>
      <c r="V18" s="6"/>
      <c r="W18" s="6" t="s">
        <v>469</v>
      </c>
      <c r="X18" s="7">
        <v>46147</v>
      </c>
      <c r="Y18" s="7">
        <v>46148</v>
      </c>
      <c r="Z18" s="6" t="s">
        <v>470</v>
      </c>
      <c r="AA18" s="3" t="s">
        <v>377</v>
      </c>
      <c r="AB18" s="3" t="s">
        <v>378</v>
      </c>
      <c r="AC18" s="3" t="s">
        <v>379</v>
      </c>
      <c r="AD18" s="3" t="s">
        <v>379</v>
      </c>
      <c r="AE18" s="3" t="s">
        <v>379</v>
      </c>
      <c r="AF18" s="3" t="s">
        <v>379</v>
      </c>
      <c r="AG18" s="3" t="s">
        <v>83</v>
      </c>
      <c r="AH18" s="3" t="s">
        <v>380</v>
      </c>
      <c r="AI18" s="3" t="s">
        <v>381</v>
      </c>
      <c r="AJ18" s="3" t="s">
        <v>341</v>
      </c>
      <c r="AK18" s="3" t="s">
        <v>59</v>
      </c>
      <c r="AL18" s="37" t="s">
        <v>70</v>
      </c>
      <c r="AM18" s="38" t="s">
        <v>471</v>
      </c>
    </row>
    <row r="19" spans="1:39" ht="23.25" customHeight="1" x14ac:dyDescent="0.35">
      <c r="A19" s="8">
        <v>18</v>
      </c>
      <c r="B19" s="8" t="s">
        <v>472</v>
      </c>
      <c r="C19" s="6" t="s">
        <v>473</v>
      </c>
      <c r="D19" s="6" t="s">
        <v>474</v>
      </c>
      <c r="E19" s="6" t="s">
        <v>475</v>
      </c>
      <c r="F19" s="6" t="s">
        <v>476</v>
      </c>
      <c r="G19" s="6" t="s">
        <v>227</v>
      </c>
      <c r="H19" s="6" t="s">
        <v>366</v>
      </c>
      <c r="I19" s="6" t="s">
        <v>68</v>
      </c>
      <c r="J19" s="6" t="s">
        <v>93</v>
      </c>
      <c r="K19" s="28" t="s">
        <v>68</v>
      </c>
      <c r="L19" s="6" t="s">
        <v>69</v>
      </c>
      <c r="M19" s="7">
        <v>46147</v>
      </c>
      <c r="N19" s="6" t="s">
        <v>368</v>
      </c>
      <c r="O19" s="6" t="s">
        <v>230</v>
      </c>
      <c r="P19" s="6"/>
      <c r="Q19" s="6" t="s">
        <v>477</v>
      </c>
      <c r="R19" s="6" t="s">
        <v>478</v>
      </c>
      <c r="S19" s="6" t="s">
        <v>233</v>
      </c>
      <c r="T19" s="6" t="s">
        <v>292</v>
      </c>
      <c r="U19" s="6" t="s">
        <v>479</v>
      </c>
      <c r="V19" s="6" t="s">
        <v>294</v>
      </c>
      <c r="W19" s="6" t="s">
        <v>480</v>
      </c>
      <c r="X19" s="7">
        <v>46147</v>
      </c>
      <c r="Y19" s="7">
        <v>46148</v>
      </c>
      <c r="Z19" s="6" t="s">
        <v>481</v>
      </c>
      <c r="AA19" s="3" t="s">
        <v>377</v>
      </c>
      <c r="AB19" s="3" t="s">
        <v>378</v>
      </c>
      <c r="AC19" s="3" t="s">
        <v>379</v>
      </c>
      <c r="AD19" s="3" t="s">
        <v>379</v>
      </c>
      <c r="AE19" s="3" t="s">
        <v>379</v>
      </c>
      <c r="AF19" s="3" t="s">
        <v>379</v>
      </c>
      <c r="AG19" s="3" t="s">
        <v>83</v>
      </c>
      <c r="AH19" s="3" t="s">
        <v>380</v>
      </c>
      <c r="AI19" s="3" t="s">
        <v>381</v>
      </c>
      <c r="AJ19" s="3" t="s">
        <v>341</v>
      </c>
      <c r="AK19" s="3" t="s">
        <v>59</v>
      </c>
      <c r="AL19" s="37" t="s">
        <v>70</v>
      </c>
      <c r="AM19" s="37" t="s">
        <v>70</v>
      </c>
    </row>
    <row r="20" spans="1:39" x14ac:dyDescent="0.35">
      <c r="B20" t="s">
        <v>482</v>
      </c>
      <c r="C20" t="s">
        <v>483</v>
      </c>
      <c r="D20" t="s">
        <v>484</v>
      </c>
      <c r="K20" t="str">
        <f t="shared" ref="K20:K29" si="0">IF(OR(I20="",J20=""),"D",IF((CODE(I20)+CODE(J20)-130)&lt;=1,"A",IF((CODE(I20)+CODE(J20)-130)=2,"B",IF((CODE(I20)+CODE(J20)-130)=3,"C","D"))))</f>
        <v>D</v>
      </c>
      <c r="Y20" s="32">
        <v>46148</v>
      </c>
      <c r="Z20" t="s">
        <v>485</v>
      </c>
      <c r="AL20" s="37" t="s">
        <v>70</v>
      </c>
      <c r="AM20" s="37" t="s">
        <v>70</v>
      </c>
    </row>
    <row r="21" spans="1:39" x14ac:dyDescent="0.35">
      <c r="B21" t="s">
        <v>486</v>
      </c>
      <c r="C21" t="s">
        <v>487</v>
      </c>
      <c r="D21" t="s">
        <v>487</v>
      </c>
      <c r="K21" t="str">
        <f t="shared" si="0"/>
        <v>D</v>
      </c>
      <c r="Y21" s="32">
        <v>46148</v>
      </c>
      <c r="Z21" t="s">
        <v>488</v>
      </c>
      <c r="AL21" s="37" t="s">
        <v>70</v>
      </c>
      <c r="AM21" s="37" t="s">
        <v>70</v>
      </c>
    </row>
    <row r="22" spans="1:39" x14ac:dyDescent="0.35">
      <c r="B22" t="s">
        <v>489</v>
      </c>
      <c r="C22" t="s">
        <v>490</v>
      </c>
      <c r="D22" t="s">
        <v>491</v>
      </c>
      <c r="K22" t="str">
        <f t="shared" si="0"/>
        <v>D</v>
      </c>
      <c r="Y22" s="32">
        <v>46148</v>
      </c>
      <c r="Z22" t="s">
        <v>492</v>
      </c>
      <c r="AL22" s="37" t="s">
        <v>70</v>
      </c>
      <c r="AM22" s="37" t="s">
        <v>70</v>
      </c>
    </row>
    <row r="23" spans="1:39" x14ac:dyDescent="0.35">
      <c r="B23" t="s">
        <v>493</v>
      </c>
      <c r="C23" t="s">
        <v>494</v>
      </c>
      <c r="D23" t="s">
        <v>495</v>
      </c>
      <c r="K23" t="str">
        <f t="shared" si="0"/>
        <v>D</v>
      </c>
      <c r="Y23" s="32">
        <v>46148</v>
      </c>
      <c r="Z23" t="s">
        <v>496</v>
      </c>
      <c r="AL23" s="37" t="s">
        <v>70</v>
      </c>
      <c r="AM23" s="37" t="s">
        <v>70</v>
      </c>
    </row>
    <row r="24" spans="1:39" x14ac:dyDescent="0.35">
      <c r="B24" t="s">
        <v>497</v>
      </c>
      <c r="C24" t="s">
        <v>498</v>
      </c>
      <c r="D24" t="s">
        <v>499</v>
      </c>
      <c r="K24" t="str">
        <f t="shared" si="0"/>
        <v>D</v>
      </c>
      <c r="Y24" s="32">
        <v>46148</v>
      </c>
      <c r="Z24" t="s">
        <v>500</v>
      </c>
      <c r="AL24" s="37" t="s">
        <v>70</v>
      </c>
      <c r="AM24" s="37" t="s">
        <v>70</v>
      </c>
    </row>
    <row r="25" spans="1:39" x14ac:dyDescent="0.35">
      <c r="B25" t="s">
        <v>501</v>
      </c>
      <c r="C25" t="s">
        <v>502</v>
      </c>
      <c r="D25" t="s">
        <v>502</v>
      </c>
      <c r="K25" t="str">
        <f t="shared" si="0"/>
        <v>D</v>
      </c>
      <c r="Y25" s="32">
        <v>46148</v>
      </c>
      <c r="Z25" t="s">
        <v>503</v>
      </c>
      <c r="AL25" s="37" t="s">
        <v>70</v>
      </c>
      <c r="AM25" s="37" t="s">
        <v>70</v>
      </c>
    </row>
    <row r="26" spans="1:39" x14ac:dyDescent="0.35">
      <c r="B26" t="s">
        <v>504</v>
      </c>
      <c r="C26" t="s">
        <v>505</v>
      </c>
      <c r="D26" t="s">
        <v>505</v>
      </c>
      <c r="K26" t="str">
        <f t="shared" si="0"/>
        <v>D</v>
      </c>
      <c r="Y26" s="32">
        <v>46148</v>
      </c>
      <c r="Z26" t="s">
        <v>506</v>
      </c>
      <c r="AL26" s="37" t="s">
        <v>70</v>
      </c>
      <c r="AM26" s="37" t="s">
        <v>70</v>
      </c>
    </row>
    <row r="27" spans="1:39" x14ac:dyDescent="0.35">
      <c r="B27" t="s">
        <v>507</v>
      </c>
      <c r="C27" t="s">
        <v>508</v>
      </c>
      <c r="D27" t="s">
        <v>509</v>
      </c>
      <c r="K27" t="str">
        <f t="shared" si="0"/>
        <v>D</v>
      </c>
      <c r="Y27" s="32">
        <v>46148</v>
      </c>
      <c r="Z27" t="s">
        <v>510</v>
      </c>
      <c r="AL27" s="37" t="s">
        <v>70</v>
      </c>
      <c r="AM27" s="37" t="s">
        <v>70</v>
      </c>
    </row>
    <row r="28" spans="1:39" x14ac:dyDescent="0.35">
      <c r="B28" t="s">
        <v>511</v>
      </c>
      <c r="C28" t="s">
        <v>512</v>
      </c>
      <c r="D28" t="s">
        <v>512</v>
      </c>
      <c r="K28" t="str">
        <f t="shared" si="0"/>
        <v>D</v>
      </c>
      <c r="Y28" s="32">
        <v>46148</v>
      </c>
      <c r="Z28" t="s">
        <v>513</v>
      </c>
      <c r="AL28" s="37" t="s">
        <v>70</v>
      </c>
      <c r="AM28" s="37" t="s">
        <v>70</v>
      </c>
    </row>
    <row r="29" spans="1:39" x14ac:dyDescent="0.35">
      <c r="B29" t="s">
        <v>514</v>
      </c>
      <c r="C29" t="s">
        <v>515</v>
      </c>
      <c r="D29" t="s">
        <v>515</v>
      </c>
      <c r="K29" t="str">
        <f t="shared" si="0"/>
        <v>D</v>
      </c>
      <c r="Y29" s="32">
        <v>46148</v>
      </c>
      <c r="Z29" t="s">
        <v>516</v>
      </c>
      <c r="AL29" s="37" t="s">
        <v>70</v>
      </c>
      <c r="AM29" s="37" t="s">
        <v>70</v>
      </c>
    </row>
  </sheetData>
  <autoFilter ref="A1:AM29" xr:uid="{00000000-0009-0000-0000-000003000000}"/>
  <conditionalFormatting sqref="K2:K500">
    <cfRule type="cellIs" dxfId="68" priority="2" operator="equal">
      <formula>"A"</formula>
    </cfRule>
    <cfRule type="cellIs" dxfId="67" priority="3" operator="equal">
      <formula>"B"</formula>
    </cfRule>
    <cfRule type="cellIs" dxfId="66" priority="4" operator="equal">
      <formula>"C"</formula>
    </cfRule>
    <cfRule type="cellIs" dxfId="65" priority="5" operator="equal">
      <formula>"D"</formula>
    </cfRule>
  </conditionalFormatting>
  <conditionalFormatting sqref="N2:N500">
    <cfRule type="cellIs" dxfId="64" priority="6" operator="equal">
      <formula>"R1"</formula>
    </cfRule>
    <cfRule type="cellIs" dxfId="63" priority="7" operator="equal">
      <formula>"R2"</formula>
    </cfRule>
  </conditionalFormatting>
  <conditionalFormatting sqref="T2:T500">
    <cfRule type="cellIs" dxfId="62" priority="8" operator="equal">
      <formula>"NEW"</formula>
    </cfRule>
    <cfRule type="cellIs" dxfId="61" priority="9" operator="equal">
      <formula>"IN_PROGRESS_DRIVERS"</formula>
    </cfRule>
    <cfRule type="cellIs" dxfId="60" priority="10" operator="equal">
      <formula>"IN_PROGRESS_VEHICLES"</formula>
    </cfRule>
    <cfRule type="cellIs" dxfId="59" priority="11" operator="equal">
      <formula>"IN_PROGRESS_CIRCUMSTANCES"</formula>
    </cfRule>
    <cfRule type="cellIs" dxfId="58" priority="12" operator="equal">
      <formula>"TO_SIGN"</formula>
    </cfRule>
    <cfRule type="cellIs" dxfId="57" priority="13" operator="equal">
      <formula>"FINISHED"</formula>
    </cfRule>
    <cfRule type="cellIs" dxfId="56" priority="14" operator="equal">
      <formula>"CANCEL"</formula>
    </cfRule>
    <cfRule type="cellIs" dxfId="55" priority="15" operator="equal">
      <formula>"ERROR"</formula>
    </cfRule>
  </conditionalFormatting>
  <dataValidations count="6">
    <dataValidation type="list" allowBlank="1" sqref="G2:G500" xr:uid="{00000000-0002-0000-0300-000000000000}">
      <formula1>"test_target"</formula1>
      <formula2>0</formula2>
    </dataValidation>
    <dataValidation type="list" allowBlank="1" sqref="H2:H500" xr:uid="{00000000-0002-0000-0300-000001000000}">
      <formula1>"draft,active,deprecated,blocked"</formula1>
      <formula2>0</formula2>
    </dataValidation>
    <dataValidation type="list" allowBlank="1" sqref="I2:J500" xr:uid="{00000000-0002-0000-0300-000002000000}">
      <formula1>"A,B,C,D"</formula1>
      <formula2>0</formula2>
    </dataValidation>
    <dataValidation type="list" allowBlank="1" sqref="N2:N500" xr:uid="{00000000-0002-0000-0300-000004000000}">
      <formula1>"R1,R2,R3,R4+"</formula1>
      <formula2>0</formula2>
    </dataValidation>
    <dataValidation type="list" allowBlank="1" sqref="O2:O500" xr:uid="{00000000-0002-0000-0300-000005000000}">
      <formula1>"page,behaviour,component,integration,regression,smoke"</formula1>
      <formula2>0</formula2>
    </dataValidation>
    <dataValidation type="list" allowBlank="1" sqref="T2:T500" xr:uid="{00000000-0002-0000-0300-000006000000}">
      <formula1>"NEW,IN_PROGRESS_DRIVERS,IN_PROGRESS_VEHICLES,IN_PROGRESS_CIRCUMSTANCES,TO_SIGN,FINISHED,CANCEL,ERROR,any,n/a,ERROR (with sub-reasons),TO_SIGN | FINISHED | CANCEL | ERROR"</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
  <sheetViews>
    <sheetView workbookViewId="0"/>
  </sheetViews>
  <sheetFormatPr defaultRowHeight="14.5" x14ac:dyDescent="0.35"/>
  <cols>
    <col min="1" max="1" width="28" customWidth="1"/>
    <col min="2" max="7" width="14" customWidth="1"/>
  </cols>
  <sheetData>
    <row r="1" spans="1:7" ht="18.5" x14ac:dyDescent="0.45">
      <c r="A1" s="19" t="s">
        <v>517</v>
      </c>
    </row>
    <row r="3" spans="1:7" x14ac:dyDescent="0.35">
      <c r="A3" s="26" t="s">
        <v>518</v>
      </c>
    </row>
    <row r="4" spans="1:7" x14ac:dyDescent="0.35">
      <c r="A4" t="s">
        <v>519</v>
      </c>
    </row>
    <row r="5" spans="1:7" x14ac:dyDescent="0.35">
      <c r="A5" t="s">
        <v>520</v>
      </c>
    </row>
    <row r="6" spans="1:7" x14ac:dyDescent="0.35">
      <c r="A6" t="s">
        <v>521</v>
      </c>
    </row>
    <row r="8" spans="1:7" x14ac:dyDescent="0.35">
      <c r="A8" s="26" t="s">
        <v>522</v>
      </c>
    </row>
    <row r="10" spans="1:7" x14ac:dyDescent="0.35">
      <c r="A10" s="21" t="s">
        <v>523</v>
      </c>
      <c r="B10" s="21" t="s">
        <v>524</v>
      </c>
      <c r="C10" s="21" t="s">
        <v>525</v>
      </c>
      <c r="D10" s="21" t="s">
        <v>526</v>
      </c>
      <c r="E10" s="21" t="s">
        <v>527</v>
      </c>
      <c r="F10" s="21" t="s">
        <v>528</v>
      </c>
      <c r="G10" s="21" t="s">
        <v>529</v>
      </c>
    </row>
    <row r="11" spans="1:7" x14ac:dyDescent="0.35">
      <c r="A11" t="s">
        <v>530</v>
      </c>
      <c r="B11" s="39">
        <v>20</v>
      </c>
      <c r="C11" s="39">
        <v>20</v>
      </c>
      <c r="D11" s="39">
        <v>20</v>
      </c>
      <c r="E11" s="39">
        <v>0</v>
      </c>
      <c r="F11" s="39">
        <v>0</v>
      </c>
      <c r="G11" s="39">
        <v>20</v>
      </c>
    </row>
    <row r="12" spans="1:7" x14ac:dyDescent="0.35">
      <c r="A12" t="s">
        <v>531</v>
      </c>
      <c r="B12" s="39">
        <v>28</v>
      </c>
      <c r="C12" s="39">
        <v>28</v>
      </c>
      <c r="D12" s="39">
        <v>27</v>
      </c>
      <c r="E12" s="39">
        <v>1</v>
      </c>
      <c r="F12" s="39">
        <v>0</v>
      </c>
      <c r="G12" s="39">
        <v>27</v>
      </c>
    </row>
    <row r="13" spans="1:7" x14ac:dyDescent="0.35">
      <c r="A13" t="s">
        <v>532</v>
      </c>
      <c r="B13" s="39">
        <v>49</v>
      </c>
      <c r="C13" s="39">
        <v>47</v>
      </c>
      <c r="D13" s="39">
        <v>48</v>
      </c>
      <c r="E13" s="39">
        <v>1</v>
      </c>
      <c r="F13" s="39">
        <v>2</v>
      </c>
      <c r="G13" s="39">
        <v>46</v>
      </c>
    </row>
    <row r="14" spans="1:7" x14ac:dyDescent="0.35">
      <c r="A14" t="s">
        <v>533</v>
      </c>
      <c r="B14" s="39">
        <v>0</v>
      </c>
      <c r="C14" s="39">
        <v>0</v>
      </c>
      <c r="D14" s="39">
        <v>0</v>
      </c>
      <c r="E14" s="39">
        <v>0</v>
      </c>
      <c r="F14" s="39">
        <v>0</v>
      </c>
      <c r="G14" s="39">
        <v>0</v>
      </c>
    </row>
    <row r="15" spans="1:7" x14ac:dyDescent="0.35">
      <c r="A15" s="26" t="s">
        <v>534</v>
      </c>
      <c r="B15" s="40">
        <v>97</v>
      </c>
      <c r="C15" s="40">
        <v>95</v>
      </c>
      <c r="D15" s="40">
        <v>95</v>
      </c>
      <c r="E15" s="39"/>
      <c r="F15" s="39"/>
      <c r="G15" s="40">
        <v>93</v>
      </c>
    </row>
    <row r="18" spans="1:1" ht="15.5" x14ac:dyDescent="0.35">
      <c r="A18" s="41" t="s">
        <v>535</v>
      </c>
    </row>
    <row r="19" spans="1:1" x14ac:dyDescent="0.35">
      <c r="A19" t="s">
        <v>536</v>
      </c>
    </row>
    <row r="20" spans="1:1" x14ac:dyDescent="0.35">
      <c r="A20" t="s">
        <v>537</v>
      </c>
    </row>
    <row r="21" spans="1:1" x14ac:dyDescent="0.35">
      <c r="A21" t="s">
        <v>538</v>
      </c>
    </row>
    <row r="22" spans="1:1" x14ac:dyDescent="0.35">
      <c r="A22" t="s">
        <v>539</v>
      </c>
    </row>
    <row r="23" spans="1:1" x14ac:dyDescent="0.35">
      <c r="A23" t="s">
        <v>540</v>
      </c>
    </row>
    <row r="25" spans="1:1" x14ac:dyDescent="0.35">
      <c r="A25" t="s">
        <v>541</v>
      </c>
    </row>
    <row r="26" spans="1:1" x14ac:dyDescent="0.35">
      <c r="A26" t="s">
        <v>542</v>
      </c>
    </row>
    <row r="27" spans="1:1" x14ac:dyDescent="0.35">
      <c r="A27" t="s">
        <v>543</v>
      </c>
    </row>
    <row r="29" spans="1:1" ht="15.5" x14ac:dyDescent="0.35">
      <c r="A29" s="41" t="s">
        <v>544</v>
      </c>
    </row>
    <row r="30" spans="1:1" x14ac:dyDescent="0.35">
      <c r="A30" t="s">
        <v>545</v>
      </c>
    </row>
    <row r="31" spans="1:1" x14ac:dyDescent="0.35">
      <c r="A31" t="s">
        <v>546</v>
      </c>
    </row>
    <row r="32" spans="1:1" x14ac:dyDescent="0.35">
      <c r="A32" t="s">
        <v>547</v>
      </c>
    </row>
    <row r="33" spans="1:1" x14ac:dyDescent="0.35">
      <c r="A33" t="s">
        <v>548</v>
      </c>
    </row>
  </sheetData>
  <pageMargins left="0.75" right="0.75" top="1" bottom="1" header="0.5" footer="0.5"/>
  <headerFooter>
    <oddHeader>&amp;R&amp;"Aptos"&amp;10&amp;K000000 Interní /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1"/>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4" width="14" customWidth="1"/>
    <col min="5" max="5" width="50" customWidth="1"/>
    <col min="6" max="6" width="22" customWidth="1"/>
    <col min="7" max="9" width="8" customWidth="1"/>
    <col min="10" max="10" width="14" customWidth="1"/>
    <col min="11" max="11" width="50" customWidth="1"/>
  </cols>
  <sheetData>
    <row r="1" spans="1:11" ht="27.75" customHeight="1" x14ac:dyDescent="0.35">
      <c r="A1" s="5" t="s">
        <v>42</v>
      </c>
      <c r="B1" s="5" t="s">
        <v>221</v>
      </c>
      <c r="C1" s="5" t="s">
        <v>549</v>
      </c>
      <c r="D1" s="5" t="s">
        <v>550</v>
      </c>
      <c r="E1" s="5" t="s">
        <v>551</v>
      </c>
      <c r="F1" s="5" t="s">
        <v>552</v>
      </c>
      <c r="G1" s="5" t="s">
        <v>52</v>
      </c>
      <c r="H1" s="5" t="s">
        <v>53</v>
      </c>
      <c r="I1" s="5" t="s">
        <v>28</v>
      </c>
      <c r="J1" s="5" t="s">
        <v>553</v>
      </c>
      <c r="K1" s="5" t="s">
        <v>56</v>
      </c>
    </row>
    <row r="2" spans="1:11" ht="15" customHeight="1" x14ac:dyDescent="0.35">
      <c r="A2" s="6">
        <v>1</v>
      </c>
      <c r="B2" s="6" t="s">
        <v>59</v>
      </c>
      <c r="C2" s="6" t="s">
        <v>377</v>
      </c>
      <c r="D2" s="6" t="s">
        <v>228</v>
      </c>
      <c r="E2" s="6"/>
      <c r="F2" s="6" t="s">
        <v>554</v>
      </c>
      <c r="G2" s="6" t="s">
        <v>93</v>
      </c>
      <c r="H2" s="6" t="s">
        <v>93</v>
      </c>
      <c r="I2" s="6" t="str">
        <f t="shared" ref="I2:I33" si="0">IF(OR(G2="",H2=""),"D",IF(OR(G2="D",H2="D"),"D",IF((CODE(G2)+CODE(H2)-130)&lt;=3,"A",IF((CODE(G2)+CODE(H2)-130)=4,"B","C"))))</f>
        <v>A</v>
      </c>
      <c r="J2" s="6">
        <v>1</v>
      </c>
      <c r="K2" s="6"/>
    </row>
    <row r="3" spans="1:11" ht="15" customHeight="1" x14ac:dyDescent="0.35">
      <c r="A3" s="6">
        <v>2</v>
      </c>
      <c r="B3" s="6" t="s">
        <v>59</v>
      </c>
      <c r="C3" s="6" t="s">
        <v>555</v>
      </c>
      <c r="D3" s="6" t="s">
        <v>556</v>
      </c>
      <c r="E3" s="6"/>
      <c r="F3" s="6" t="s">
        <v>554</v>
      </c>
      <c r="G3" s="6" t="s">
        <v>367</v>
      </c>
      <c r="H3" s="6" t="s">
        <v>367</v>
      </c>
      <c r="I3" s="6" t="str">
        <f t="shared" si="0"/>
        <v>B</v>
      </c>
      <c r="J3" s="6">
        <v>0</v>
      </c>
      <c r="K3" s="6"/>
    </row>
    <row r="4" spans="1:11" ht="15" customHeight="1" x14ac:dyDescent="0.35">
      <c r="A4" s="6">
        <v>3</v>
      </c>
      <c r="B4" s="6" t="s">
        <v>59</v>
      </c>
      <c r="C4" s="6" t="s">
        <v>557</v>
      </c>
      <c r="D4" s="6" t="s">
        <v>228</v>
      </c>
      <c r="E4" s="6"/>
      <c r="F4" s="6" t="s">
        <v>554</v>
      </c>
      <c r="G4" s="6" t="s">
        <v>93</v>
      </c>
      <c r="H4" s="6" t="s">
        <v>93</v>
      </c>
      <c r="I4" s="6" t="str">
        <f t="shared" si="0"/>
        <v>A</v>
      </c>
      <c r="J4" s="6">
        <v>1</v>
      </c>
      <c r="K4" s="6"/>
    </row>
    <row r="5" spans="1:11" ht="15" customHeight="1" x14ac:dyDescent="0.35">
      <c r="A5" s="6">
        <v>4</v>
      </c>
      <c r="B5" s="6" t="s">
        <v>59</v>
      </c>
      <c r="C5" s="6" t="s">
        <v>558</v>
      </c>
      <c r="D5" s="6" t="s">
        <v>556</v>
      </c>
      <c r="E5" s="6"/>
      <c r="F5" s="6" t="s">
        <v>554</v>
      </c>
      <c r="G5" s="6" t="s">
        <v>367</v>
      </c>
      <c r="H5" s="6" t="s">
        <v>367</v>
      </c>
      <c r="I5" s="6" t="str">
        <f t="shared" si="0"/>
        <v>B</v>
      </c>
      <c r="J5" s="6">
        <v>0</v>
      </c>
      <c r="K5" s="6"/>
    </row>
    <row r="6" spans="1:11" ht="15" customHeight="1" x14ac:dyDescent="0.35">
      <c r="A6" s="6">
        <v>5</v>
      </c>
      <c r="B6" s="6" t="s">
        <v>59</v>
      </c>
      <c r="C6" s="6" t="s">
        <v>559</v>
      </c>
      <c r="D6" s="6" t="s">
        <v>556</v>
      </c>
      <c r="E6" s="6"/>
      <c r="F6" s="6" t="s">
        <v>554</v>
      </c>
      <c r="G6" s="6" t="s">
        <v>367</v>
      </c>
      <c r="H6" s="6" t="s">
        <v>367</v>
      </c>
      <c r="I6" s="6" t="str">
        <f t="shared" si="0"/>
        <v>B</v>
      </c>
      <c r="J6" s="6">
        <v>0</v>
      </c>
      <c r="K6" s="6"/>
    </row>
    <row r="7" spans="1:11" ht="15" customHeight="1" x14ac:dyDescent="0.35">
      <c r="A7" s="6">
        <v>6</v>
      </c>
      <c r="B7" s="6" t="s">
        <v>59</v>
      </c>
      <c r="C7" s="6" t="s">
        <v>560</v>
      </c>
      <c r="D7" s="6" t="s">
        <v>556</v>
      </c>
      <c r="E7" s="6"/>
      <c r="F7" s="6" t="s">
        <v>554</v>
      </c>
      <c r="G7" s="6" t="s">
        <v>367</v>
      </c>
      <c r="H7" s="6" t="s">
        <v>367</v>
      </c>
      <c r="I7" s="6" t="str">
        <f t="shared" si="0"/>
        <v>B</v>
      </c>
      <c r="J7" s="6">
        <v>0</v>
      </c>
      <c r="K7" s="6"/>
    </row>
    <row r="8" spans="1:11" ht="15" customHeight="1" x14ac:dyDescent="0.35">
      <c r="A8" s="6">
        <v>7</v>
      </c>
      <c r="B8" s="6" t="s">
        <v>59</v>
      </c>
      <c r="C8" s="6" t="s">
        <v>561</v>
      </c>
      <c r="D8" s="6" t="s">
        <v>556</v>
      </c>
      <c r="E8" s="6"/>
      <c r="F8" s="6" t="s">
        <v>554</v>
      </c>
      <c r="G8" s="6" t="s">
        <v>367</v>
      </c>
      <c r="H8" s="6" t="s">
        <v>367</v>
      </c>
      <c r="I8" s="6" t="str">
        <f t="shared" si="0"/>
        <v>B</v>
      </c>
      <c r="J8" s="6">
        <v>0</v>
      </c>
      <c r="K8" s="6"/>
    </row>
    <row r="9" spans="1:11" ht="15" customHeight="1" x14ac:dyDescent="0.35">
      <c r="A9" s="6">
        <v>8</v>
      </c>
      <c r="B9" s="6" t="s">
        <v>59</v>
      </c>
      <c r="C9" s="6" t="s">
        <v>562</v>
      </c>
      <c r="D9" s="6" t="s">
        <v>556</v>
      </c>
      <c r="E9" s="6"/>
      <c r="F9" s="6" t="s">
        <v>554</v>
      </c>
      <c r="G9" s="6" t="s">
        <v>367</v>
      </c>
      <c r="H9" s="6" t="s">
        <v>367</v>
      </c>
      <c r="I9" s="6" t="str">
        <f t="shared" si="0"/>
        <v>B</v>
      </c>
      <c r="J9" s="6">
        <v>0</v>
      </c>
      <c r="K9" s="6"/>
    </row>
    <row r="10" spans="1:11" ht="15" customHeight="1" x14ac:dyDescent="0.35">
      <c r="A10" s="6">
        <v>9</v>
      </c>
      <c r="B10" s="6" t="s">
        <v>59</v>
      </c>
      <c r="C10" s="6" t="s">
        <v>563</v>
      </c>
      <c r="D10" s="6" t="s">
        <v>556</v>
      </c>
      <c r="E10" s="6"/>
      <c r="F10" s="6" t="s">
        <v>554</v>
      </c>
      <c r="G10" s="6" t="s">
        <v>367</v>
      </c>
      <c r="H10" s="6" t="s">
        <v>367</v>
      </c>
      <c r="I10" s="6" t="str">
        <f t="shared" si="0"/>
        <v>B</v>
      </c>
      <c r="J10" s="6">
        <v>0</v>
      </c>
      <c r="K10" s="6"/>
    </row>
    <row r="11" spans="1:11" ht="15" customHeight="1" x14ac:dyDescent="0.35">
      <c r="A11" s="6">
        <v>10</v>
      </c>
      <c r="B11" s="6" t="s">
        <v>59</v>
      </c>
      <c r="C11" s="6" t="s">
        <v>564</v>
      </c>
      <c r="D11" s="6" t="s">
        <v>565</v>
      </c>
      <c r="E11" s="6" t="s">
        <v>566</v>
      </c>
      <c r="F11" s="6" t="s">
        <v>567</v>
      </c>
      <c r="G11" s="6" t="s">
        <v>425</v>
      </c>
      <c r="H11" s="6" t="s">
        <v>425</v>
      </c>
      <c r="I11" s="6" t="str">
        <f t="shared" si="0"/>
        <v>D</v>
      </c>
      <c r="J11" s="6">
        <v>0</v>
      </c>
      <c r="K11" s="6"/>
    </row>
    <row r="12" spans="1:11" ht="15" customHeight="1" x14ac:dyDescent="0.35">
      <c r="A12" s="6">
        <v>11</v>
      </c>
      <c r="B12" s="6" t="s">
        <v>71</v>
      </c>
      <c r="C12" s="6" t="s">
        <v>377</v>
      </c>
      <c r="D12" s="6" t="s">
        <v>228</v>
      </c>
      <c r="E12" s="6"/>
      <c r="F12" s="6" t="s">
        <v>554</v>
      </c>
      <c r="G12" s="6" t="s">
        <v>93</v>
      </c>
      <c r="H12" s="6" t="s">
        <v>93</v>
      </c>
      <c r="I12" s="6" t="str">
        <f t="shared" si="0"/>
        <v>A</v>
      </c>
      <c r="J12" s="6">
        <v>1</v>
      </c>
      <c r="K12" s="6"/>
    </row>
    <row r="13" spans="1:11" ht="15" customHeight="1" x14ac:dyDescent="0.35">
      <c r="A13" s="6">
        <v>12</v>
      </c>
      <c r="B13" s="6" t="s">
        <v>71</v>
      </c>
      <c r="C13" s="6" t="s">
        <v>555</v>
      </c>
      <c r="D13" s="6" t="s">
        <v>556</v>
      </c>
      <c r="E13" s="6"/>
      <c r="F13" s="6" t="s">
        <v>554</v>
      </c>
      <c r="G13" s="6" t="s">
        <v>367</v>
      </c>
      <c r="H13" s="6" t="s">
        <v>367</v>
      </c>
      <c r="I13" s="6" t="str">
        <f t="shared" si="0"/>
        <v>B</v>
      </c>
      <c r="J13" s="6">
        <v>0</v>
      </c>
      <c r="K13" s="6"/>
    </row>
    <row r="14" spans="1:11" ht="15" customHeight="1" x14ac:dyDescent="0.35">
      <c r="A14" s="6">
        <v>13</v>
      </c>
      <c r="B14" s="6" t="s">
        <v>71</v>
      </c>
      <c r="C14" s="6" t="s">
        <v>557</v>
      </c>
      <c r="D14" s="6" t="s">
        <v>228</v>
      </c>
      <c r="E14" s="6"/>
      <c r="F14" s="6" t="s">
        <v>554</v>
      </c>
      <c r="G14" s="6" t="s">
        <v>93</v>
      </c>
      <c r="H14" s="6" t="s">
        <v>93</v>
      </c>
      <c r="I14" s="6" t="str">
        <f t="shared" si="0"/>
        <v>A</v>
      </c>
      <c r="J14" s="6">
        <v>1</v>
      </c>
      <c r="K14" s="6"/>
    </row>
    <row r="15" spans="1:11" ht="15" customHeight="1" x14ac:dyDescent="0.35">
      <c r="A15" s="6">
        <v>14</v>
      </c>
      <c r="B15" s="6" t="s">
        <v>71</v>
      </c>
      <c r="C15" s="6" t="s">
        <v>558</v>
      </c>
      <c r="D15" s="6" t="s">
        <v>556</v>
      </c>
      <c r="E15" s="6"/>
      <c r="F15" s="6" t="s">
        <v>554</v>
      </c>
      <c r="G15" s="6" t="s">
        <v>367</v>
      </c>
      <c r="H15" s="6" t="s">
        <v>367</v>
      </c>
      <c r="I15" s="6" t="str">
        <f t="shared" si="0"/>
        <v>B</v>
      </c>
      <c r="J15" s="6">
        <v>0</v>
      </c>
      <c r="K15" s="6"/>
    </row>
    <row r="16" spans="1:11" ht="15" customHeight="1" x14ac:dyDescent="0.35">
      <c r="A16" s="6">
        <v>15</v>
      </c>
      <c r="B16" s="6" t="s">
        <v>71</v>
      </c>
      <c r="C16" s="6" t="s">
        <v>559</v>
      </c>
      <c r="D16" s="6" t="s">
        <v>556</v>
      </c>
      <c r="E16" s="6"/>
      <c r="F16" s="6" t="s">
        <v>554</v>
      </c>
      <c r="G16" s="6" t="s">
        <v>367</v>
      </c>
      <c r="H16" s="6" t="s">
        <v>367</v>
      </c>
      <c r="I16" s="6" t="str">
        <f t="shared" si="0"/>
        <v>B</v>
      </c>
      <c r="J16" s="6">
        <v>0</v>
      </c>
      <c r="K16" s="6"/>
    </row>
    <row r="17" spans="1:11" ht="15" customHeight="1" x14ac:dyDescent="0.35">
      <c r="A17" s="6">
        <v>16</v>
      </c>
      <c r="B17" s="6" t="s">
        <v>71</v>
      </c>
      <c r="C17" s="6" t="s">
        <v>560</v>
      </c>
      <c r="D17" s="6" t="s">
        <v>556</v>
      </c>
      <c r="E17" s="6"/>
      <c r="F17" s="6" t="s">
        <v>554</v>
      </c>
      <c r="G17" s="6" t="s">
        <v>367</v>
      </c>
      <c r="H17" s="6" t="s">
        <v>367</v>
      </c>
      <c r="I17" s="6" t="str">
        <f t="shared" si="0"/>
        <v>B</v>
      </c>
      <c r="J17" s="6">
        <v>0</v>
      </c>
      <c r="K17" s="6"/>
    </row>
    <row r="18" spans="1:11" ht="15" customHeight="1" x14ac:dyDescent="0.35">
      <c r="A18" s="6">
        <v>17</v>
      </c>
      <c r="B18" s="6" t="s">
        <v>71</v>
      </c>
      <c r="C18" s="6" t="s">
        <v>561</v>
      </c>
      <c r="D18" s="6" t="s">
        <v>556</v>
      </c>
      <c r="E18" s="6"/>
      <c r="F18" s="6" t="s">
        <v>554</v>
      </c>
      <c r="G18" s="6" t="s">
        <v>367</v>
      </c>
      <c r="H18" s="6" t="s">
        <v>367</v>
      </c>
      <c r="I18" s="6" t="str">
        <f t="shared" si="0"/>
        <v>B</v>
      </c>
      <c r="J18" s="6">
        <v>0</v>
      </c>
      <c r="K18" s="6"/>
    </row>
    <row r="19" spans="1:11" ht="15" customHeight="1" x14ac:dyDescent="0.35">
      <c r="A19" s="6">
        <v>18</v>
      </c>
      <c r="B19" s="6" t="s">
        <v>71</v>
      </c>
      <c r="C19" s="6" t="s">
        <v>562</v>
      </c>
      <c r="D19" s="6" t="s">
        <v>556</v>
      </c>
      <c r="E19" s="6"/>
      <c r="F19" s="6" t="s">
        <v>554</v>
      </c>
      <c r="G19" s="6" t="s">
        <v>367</v>
      </c>
      <c r="H19" s="6" t="s">
        <v>367</v>
      </c>
      <c r="I19" s="6" t="str">
        <f t="shared" si="0"/>
        <v>B</v>
      </c>
      <c r="J19" s="6">
        <v>0</v>
      </c>
      <c r="K19" s="6"/>
    </row>
    <row r="20" spans="1:11" ht="15" customHeight="1" x14ac:dyDescent="0.35">
      <c r="A20" s="6">
        <v>19</v>
      </c>
      <c r="B20" s="6" t="s">
        <v>71</v>
      </c>
      <c r="C20" s="6" t="s">
        <v>563</v>
      </c>
      <c r="D20" s="6" t="s">
        <v>556</v>
      </c>
      <c r="E20" s="6"/>
      <c r="F20" s="6" t="s">
        <v>554</v>
      </c>
      <c r="G20" s="6" t="s">
        <v>367</v>
      </c>
      <c r="H20" s="6" t="s">
        <v>367</v>
      </c>
      <c r="I20" s="6" t="str">
        <f t="shared" si="0"/>
        <v>B</v>
      </c>
      <c r="J20" s="6">
        <v>0</v>
      </c>
      <c r="K20" s="6"/>
    </row>
    <row r="21" spans="1:11" ht="15" customHeight="1" x14ac:dyDescent="0.35">
      <c r="A21" s="6">
        <v>20</v>
      </c>
      <c r="B21" s="6" t="s">
        <v>71</v>
      </c>
      <c r="C21" s="6" t="s">
        <v>564</v>
      </c>
      <c r="D21" s="6" t="s">
        <v>565</v>
      </c>
      <c r="E21" s="6" t="s">
        <v>566</v>
      </c>
      <c r="F21" s="6" t="s">
        <v>567</v>
      </c>
      <c r="G21" s="6" t="s">
        <v>425</v>
      </c>
      <c r="H21" s="6" t="s">
        <v>425</v>
      </c>
      <c r="I21" s="6" t="str">
        <f t="shared" si="0"/>
        <v>D</v>
      </c>
      <c r="J21" s="6">
        <v>0</v>
      </c>
      <c r="K21" s="6"/>
    </row>
    <row r="22" spans="1:11" ht="15" customHeight="1" x14ac:dyDescent="0.35">
      <c r="A22" s="6">
        <v>21</v>
      </c>
      <c r="B22" s="6" t="s">
        <v>77</v>
      </c>
      <c r="C22" s="6" t="s">
        <v>377</v>
      </c>
      <c r="D22" s="6" t="s">
        <v>228</v>
      </c>
      <c r="E22" s="6"/>
      <c r="F22" s="6" t="s">
        <v>554</v>
      </c>
      <c r="G22" s="6" t="s">
        <v>93</v>
      </c>
      <c r="H22" s="6" t="s">
        <v>93</v>
      </c>
      <c r="I22" s="6" t="str">
        <f t="shared" si="0"/>
        <v>A</v>
      </c>
      <c r="J22" s="6">
        <v>1</v>
      </c>
      <c r="K22" s="6"/>
    </row>
    <row r="23" spans="1:11" ht="15" customHeight="1" x14ac:dyDescent="0.35">
      <c r="A23" s="6">
        <v>22</v>
      </c>
      <c r="B23" s="6" t="s">
        <v>77</v>
      </c>
      <c r="C23" s="6" t="s">
        <v>555</v>
      </c>
      <c r="D23" s="6" t="s">
        <v>556</v>
      </c>
      <c r="E23" s="6"/>
      <c r="F23" s="6" t="s">
        <v>554</v>
      </c>
      <c r="G23" s="6" t="s">
        <v>367</v>
      </c>
      <c r="H23" s="6" t="s">
        <v>367</v>
      </c>
      <c r="I23" s="6" t="str">
        <f t="shared" si="0"/>
        <v>B</v>
      </c>
      <c r="J23" s="6">
        <v>0</v>
      </c>
      <c r="K23" s="6"/>
    </row>
    <row r="24" spans="1:11" ht="15" customHeight="1" x14ac:dyDescent="0.35">
      <c r="A24" s="6">
        <v>23</v>
      </c>
      <c r="B24" s="6" t="s">
        <v>77</v>
      </c>
      <c r="C24" s="6" t="s">
        <v>557</v>
      </c>
      <c r="D24" s="6" t="s">
        <v>556</v>
      </c>
      <c r="E24" s="6"/>
      <c r="F24" s="6" t="s">
        <v>554</v>
      </c>
      <c r="G24" s="6" t="s">
        <v>367</v>
      </c>
      <c r="H24" s="6" t="s">
        <v>367</v>
      </c>
      <c r="I24" s="6" t="str">
        <f t="shared" si="0"/>
        <v>B</v>
      </c>
      <c r="J24" s="6">
        <v>0</v>
      </c>
      <c r="K24" s="6"/>
    </row>
    <row r="25" spans="1:11" ht="15" customHeight="1" x14ac:dyDescent="0.35">
      <c r="A25" s="6">
        <v>24</v>
      </c>
      <c r="B25" s="6" t="s">
        <v>77</v>
      </c>
      <c r="C25" s="6" t="s">
        <v>558</v>
      </c>
      <c r="D25" s="6" t="s">
        <v>556</v>
      </c>
      <c r="E25" s="6"/>
      <c r="F25" s="6" t="s">
        <v>554</v>
      </c>
      <c r="G25" s="6" t="s">
        <v>367</v>
      </c>
      <c r="H25" s="6" t="s">
        <v>367</v>
      </c>
      <c r="I25" s="6" t="str">
        <f t="shared" si="0"/>
        <v>B</v>
      </c>
      <c r="J25" s="6">
        <v>0</v>
      </c>
      <c r="K25" s="6"/>
    </row>
    <row r="26" spans="1:11" ht="15" customHeight="1" x14ac:dyDescent="0.35">
      <c r="A26" s="6">
        <v>25</v>
      </c>
      <c r="B26" s="6" t="s">
        <v>77</v>
      </c>
      <c r="C26" s="6" t="s">
        <v>559</v>
      </c>
      <c r="D26" s="6" t="s">
        <v>228</v>
      </c>
      <c r="E26" s="6"/>
      <c r="F26" s="6" t="s">
        <v>554</v>
      </c>
      <c r="G26" s="6" t="s">
        <v>93</v>
      </c>
      <c r="H26" s="6" t="s">
        <v>93</v>
      </c>
      <c r="I26" s="6" t="str">
        <f t="shared" si="0"/>
        <v>A</v>
      </c>
      <c r="J26" s="6">
        <v>1</v>
      </c>
      <c r="K26" s="6"/>
    </row>
    <row r="27" spans="1:11" ht="15" customHeight="1" x14ac:dyDescent="0.35">
      <c r="A27" s="6">
        <v>26</v>
      </c>
      <c r="B27" s="6" t="s">
        <v>77</v>
      </c>
      <c r="C27" s="6" t="s">
        <v>560</v>
      </c>
      <c r="D27" s="6" t="s">
        <v>556</v>
      </c>
      <c r="E27" s="6"/>
      <c r="F27" s="6" t="s">
        <v>554</v>
      </c>
      <c r="G27" s="6" t="s">
        <v>367</v>
      </c>
      <c r="H27" s="6" t="s">
        <v>367</v>
      </c>
      <c r="I27" s="6" t="str">
        <f t="shared" si="0"/>
        <v>B</v>
      </c>
      <c r="J27" s="6">
        <v>0</v>
      </c>
      <c r="K27" s="6"/>
    </row>
    <row r="28" spans="1:11" ht="15" customHeight="1" x14ac:dyDescent="0.35">
      <c r="A28" s="6">
        <v>27</v>
      </c>
      <c r="B28" s="6" t="s">
        <v>77</v>
      </c>
      <c r="C28" s="6" t="s">
        <v>561</v>
      </c>
      <c r="D28" s="6" t="s">
        <v>556</v>
      </c>
      <c r="E28" s="6"/>
      <c r="F28" s="6" t="s">
        <v>554</v>
      </c>
      <c r="G28" s="6" t="s">
        <v>367</v>
      </c>
      <c r="H28" s="6" t="s">
        <v>367</v>
      </c>
      <c r="I28" s="6" t="str">
        <f t="shared" si="0"/>
        <v>B</v>
      </c>
      <c r="J28" s="6">
        <v>0</v>
      </c>
      <c r="K28" s="6"/>
    </row>
    <row r="29" spans="1:11" ht="15" customHeight="1" x14ac:dyDescent="0.35">
      <c r="A29" s="6">
        <v>28</v>
      </c>
      <c r="B29" s="6" t="s">
        <v>77</v>
      </c>
      <c r="C29" s="6" t="s">
        <v>562</v>
      </c>
      <c r="D29" s="6" t="s">
        <v>556</v>
      </c>
      <c r="E29" s="6"/>
      <c r="F29" s="6" t="s">
        <v>554</v>
      </c>
      <c r="G29" s="6" t="s">
        <v>367</v>
      </c>
      <c r="H29" s="6" t="s">
        <v>367</v>
      </c>
      <c r="I29" s="6" t="str">
        <f t="shared" si="0"/>
        <v>B</v>
      </c>
      <c r="J29" s="6">
        <v>0</v>
      </c>
      <c r="K29" s="6"/>
    </row>
    <row r="30" spans="1:11" ht="15" customHeight="1" x14ac:dyDescent="0.35">
      <c r="A30" s="6">
        <v>29</v>
      </c>
      <c r="B30" s="6" t="s">
        <v>77</v>
      </c>
      <c r="C30" s="6" t="s">
        <v>563</v>
      </c>
      <c r="D30" s="6" t="s">
        <v>228</v>
      </c>
      <c r="E30" s="6"/>
      <c r="F30" s="6" t="s">
        <v>554</v>
      </c>
      <c r="G30" s="6" t="s">
        <v>93</v>
      </c>
      <c r="H30" s="6" t="s">
        <v>93</v>
      </c>
      <c r="I30" s="6" t="str">
        <f t="shared" si="0"/>
        <v>A</v>
      </c>
      <c r="J30" s="6">
        <v>1</v>
      </c>
      <c r="K30" s="6"/>
    </row>
    <row r="31" spans="1:11" ht="15" customHeight="1" x14ac:dyDescent="0.35">
      <c r="A31" s="6">
        <v>30</v>
      </c>
      <c r="B31" s="6" t="s">
        <v>77</v>
      </c>
      <c r="C31" s="6" t="s">
        <v>564</v>
      </c>
      <c r="D31" s="6" t="s">
        <v>565</v>
      </c>
      <c r="E31" s="6" t="s">
        <v>566</v>
      </c>
      <c r="F31" s="6" t="s">
        <v>567</v>
      </c>
      <c r="G31" s="6" t="s">
        <v>425</v>
      </c>
      <c r="H31" s="6" t="s">
        <v>425</v>
      </c>
      <c r="I31" s="6" t="str">
        <f t="shared" si="0"/>
        <v>D</v>
      </c>
      <c r="J31" s="6">
        <v>0</v>
      </c>
      <c r="K31" s="6"/>
    </row>
    <row r="32" spans="1:11" ht="15" customHeight="1" x14ac:dyDescent="0.35">
      <c r="A32" s="6">
        <v>31</v>
      </c>
      <c r="B32" s="6" t="s">
        <v>85</v>
      </c>
      <c r="C32" s="6" t="s">
        <v>377</v>
      </c>
      <c r="D32" s="6" t="s">
        <v>556</v>
      </c>
      <c r="E32" s="6"/>
      <c r="F32" s="6" t="s">
        <v>554</v>
      </c>
      <c r="G32" s="6" t="s">
        <v>367</v>
      </c>
      <c r="H32" s="6" t="s">
        <v>367</v>
      </c>
      <c r="I32" s="6" t="str">
        <f t="shared" si="0"/>
        <v>B</v>
      </c>
      <c r="J32" s="6">
        <v>0</v>
      </c>
      <c r="K32" s="6"/>
    </row>
    <row r="33" spans="1:11" ht="15" customHeight="1" x14ac:dyDescent="0.35">
      <c r="A33" s="6">
        <v>32</v>
      </c>
      <c r="B33" s="6" t="s">
        <v>85</v>
      </c>
      <c r="C33" s="6" t="s">
        <v>555</v>
      </c>
      <c r="D33" s="6" t="s">
        <v>228</v>
      </c>
      <c r="E33" s="6"/>
      <c r="F33" s="6" t="s">
        <v>554</v>
      </c>
      <c r="G33" s="6" t="s">
        <v>93</v>
      </c>
      <c r="H33" s="6" t="s">
        <v>93</v>
      </c>
      <c r="I33" s="6" t="str">
        <f t="shared" si="0"/>
        <v>A</v>
      </c>
      <c r="J33" s="6">
        <v>1</v>
      </c>
      <c r="K33" s="6"/>
    </row>
    <row r="34" spans="1:11" ht="15" customHeight="1" x14ac:dyDescent="0.35">
      <c r="A34" s="6">
        <v>33</v>
      </c>
      <c r="B34" s="6" t="s">
        <v>85</v>
      </c>
      <c r="C34" s="6" t="s">
        <v>557</v>
      </c>
      <c r="D34" s="6" t="s">
        <v>556</v>
      </c>
      <c r="E34" s="6"/>
      <c r="F34" s="6" t="s">
        <v>554</v>
      </c>
      <c r="G34" s="6" t="s">
        <v>367</v>
      </c>
      <c r="H34" s="6" t="s">
        <v>367</v>
      </c>
      <c r="I34" s="6" t="str">
        <f t="shared" ref="I34:I65" si="1">IF(OR(G34="",H34=""),"D",IF(OR(G34="D",H34="D"),"D",IF((CODE(G34)+CODE(H34)-130)&lt;=3,"A",IF((CODE(G34)+CODE(H34)-130)=4,"B","C"))))</f>
        <v>B</v>
      </c>
      <c r="J34" s="6">
        <v>0</v>
      </c>
      <c r="K34" s="6"/>
    </row>
    <row r="35" spans="1:11" ht="15" customHeight="1" x14ac:dyDescent="0.35">
      <c r="A35" s="6">
        <v>34</v>
      </c>
      <c r="B35" s="6" t="s">
        <v>85</v>
      </c>
      <c r="C35" s="6" t="s">
        <v>558</v>
      </c>
      <c r="D35" s="6" t="s">
        <v>556</v>
      </c>
      <c r="E35" s="6"/>
      <c r="F35" s="6" t="s">
        <v>554</v>
      </c>
      <c r="G35" s="6" t="s">
        <v>367</v>
      </c>
      <c r="H35" s="6" t="s">
        <v>367</v>
      </c>
      <c r="I35" s="6" t="str">
        <f t="shared" si="1"/>
        <v>B</v>
      </c>
      <c r="J35" s="6">
        <v>0</v>
      </c>
      <c r="K35" s="6"/>
    </row>
    <row r="36" spans="1:11" ht="15" customHeight="1" x14ac:dyDescent="0.35">
      <c r="A36" s="6">
        <v>35</v>
      </c>
      <c r="B36" s="6" t="s">
        <v>85</v>
      </c>
      <c r="C36" s="6" t="s">
        <v>559</v>
      </c>
      <c r="D36" s="6" t="s">
        <v>556</v>
      </c>
      <c r="E36" s="6"/>
      <c r="F36" s="6" t="s">
        <v>554</v>
      </c>
      <c r="G36" s="6" t="s">
        <v>367</v>
      </c>
      <c r="H36" s="6" t="s">
        <v>367</v>
      </c>
      <c r="I36" s="6" t="str">
        <f t="shared" si="1"/>
        <v>B</v>
      </c>
      <c r="J36" s="6">
        <v>0</v>
      </c>
      <c r="K36" s="6"/>
    </row>
    <row r="37" spans="1:11" ht="15" customHeight="1" x14ac:dyDescent="0.35">
      <c r="A37" s="6">
        <v>36</v>
      </c>
      <c r="B37" s="6" t="s">
        <v>85</v>
      </c>
      <c r="C37" s="6" t="s">
        <v>560</v>
      </c>
      <c r="D37" s="6" t="s">
        <v>556</v>
      </c>
      <c r="E37" s="6"/>
      <c r="F37" s="6" t="s">
        <v>554</v>
      </c>
      <c r="G37" s="6" t="s">
        <v>367</v>
      </c>
      <c r="H37" s="6" t="s">
        <v>367</v>
      </c>
      <c r="I37" s="6" t="str">
        <f t="shared" si="1"/>
        <v>B</v>
      </c>
      <c r="J37" s="6">
        <v>0</v>
      </c>
      <c r="K37" s="6"/>
    </row>
    <row r="38" spans="1:11" ht="15" customHeight="1" x14ac:dyDescent="0.35">
      <c r="A38" s="6">
        <v>37</v>
      </c>
      <c r="B38" s="6" t="s">
        <v>85</v>
      </c>
      <c r="C38" s="6" t="s">
        <v>561</v>
      </c>
      <c r="D38" s="6" t="s">
        <v>228</v>
      </c>
      <c r="E38" s="6"/>
      <c r="F38" s="6" t="s">
        <v>554</v>
      </c>
      <c r="G38" s="6" t="s">
        <v>93</v>
      </c>
      <c r="H38" s="6" t="s">
        <v>93</v>
      </c>
      <c r="I38" s="6" t="str">
        <f t="shared" si="1"/>
        <v>A</v>
      </c>
      <c r="J38" s="6">
        <v>1</v>
      </c>
      <c r="K38" s="6"/>
    </row>
    <row r="39" spans="1:11" ht="15" customHeight="1" x14ac:dyDescent="0.35">
      <c r="A39" s="6">
        <v>38</v>
      </c>
      <c r="B39" s="6" t="s">
        <v>85</v>
      </c>
      <c r="C39" s="6" t="s">
        <v>562</v>
      </c>
      <c r="D39" s="6" t="s">
        <v>556</v>
      </c>
      <c r="E39" s="6"/>
      <c r="F39" s="6" t="s">
        <v>554</v>
      </c>
      <c r="G39" s="6" t="s">
        <v>367</v>
      </c>
      <c r="H39" s="6" t="s">
        <v>367</v>
      </c>
      <c r="I39" s="6" t="str">
        <f t="shared" si="1"/>
        <v>B</v>
      </c>
      <c r="J39" s="6">
        <v>0</v>
      </c>
      <c r="K39" s="6"/>
    </row>
    <row r="40" spans="1:11" ht="15" customHeight="1" x14ac:dyDescent="0.35">
      <c r="A40" s="6">
        <v>39</v>
      </c>
      <c r="B40" s="6" t="s">
        <v>85</v>
      </c>
      <c r="C40" s="6" t="s">
        <v>563</v>
      </c>
      <c r="D40" s="6" t="s">
        <v>556</v>
      </c>
      <c r="E40" s="6"/>
      <c r="F40" s="6" t="s">
        <v>554</v>
      </c>
      <c r="G40" s="6" t="s">
        <v>367</v>
      </c>
      <c r="H40" s="6" t="s">
        <v>367</v>
      </c>
      <c r="I40" s="6" t="str">
        <f t="shared" si="1"/>
        <v>B</v>
      </c>
      <c r="J40" s="6">
        <v>0</v>
      </c>
      <c r="K40" s="6"/>
    </row>
    <row r="41" spans="1:11" ht="15" customHeight="1" x14ac:dyDescent="0.35">
      <c r="A41" s="6">
        <v>40</v>
      </c>
      <c r="B41" s="6" t="s">
        <v>85</v>
      </c>
      <c r="C41" s="6" t="s">
        <v>564</v>
      </c>
      <c r="D41" s="6" t="s">
        <v>565</v>
      </c>
      <c r="E41" s="6" t="s">
        <v>566</v>
      </c>
      <c r="F41" s="6" t="s">
        <v>567</v>
      </c>
      <c r="G41" s="6" t="s">
        <v>425</v>
      </c>
      <c r="H41" s="6" t="s">
        <v>425</v>
      </c>
      <c r="I41" s="6" t="str">
        <f t="shared" si="1"/>
        <v>D</v>
      </c>
      <c r="J41" s="6">
        <v>0</v>
      </c>
      <c r="K41" s="6"/>
    </row>
    <row r="42" spans="1:11" ht="15" customHeight="1" x14ac:dyDescent="0.35">
      <c r="A42" s="6">
        <v>41</v>
      </c>
      <c r="B42" s="6" t="s">
        <v>94</v>
      </c>
      <c r="C42" s="6" t="s">
        <v>377</v>
      </c>
      <c r="D42" s="6" t="s">
        <v>556</v>
      </c>
      <c r="E42" s="6"/>
      <c r="F42" s="6" t="s">
        <v>554</v>
      </c>
      <c r="G42" s="6" t="s">
        <v>367</v>
      </c>
      <c r="H42" s="6" t="s">
        <v>367</v>
      </c>
      <c r="I42" s="6" t="str">
        <f t="shared" si="1"/>
        <v>B</v>
      </c>
      <c r="J42" s="6">
        <v>0</v>
      </c>
      <c r="K42" s="6"/>
    </row>
    <row r="43" spans="1:11" ht="15" customHeight="1" x14ac:dyDescent="0.35">
      <c r="A43" s="6">
        <v>42</v>
      </c>
      <c r="B43" s="6" t="s">
        <v>94</v>
      </c>
      <c r="C43" s="6" t="s">
        <v>555</v>
      </c>
      <c r="D43" s="6" t="s">
        <v>228</v>
      </c>
      <c r="E43" s="6"/>
      <c r="F43" s="6" t="s">
        <v>554</v>
      </c>
      <c r="G43" s="6" t="s">
        <v>93</v>
      </c>
      <c r="H43" s="6" t="s">
        <v>93</v>
      </c>
      <c r="I43" s="6" t="str">
        <f t="shared" si="1"/>
        <v>A</v>
      </c>
      <c r="J43" s="6">
        <v>1</v>
      </c>
      <c r="K43" s="6"/>
    </row>
    <row r="44" spans="1:11" ht="15" customHeight="1" x14ac:dyDescent="0.35">
      <c r="A44" s="6">
        <v>43</v>
      </c>
      <c r="B44" s="6" t="s">
        <v>94</v>
      </c>
      <c r="C44" s="6" t="s">
        <v>557</v>
      </c>
      <c r="D44" s="6" t="s">
        <v>556</v>
      </c>
      <c r="E44" s="6"/>
      <c r="F44" s="6" t="s">
        <v>554</v>
      </c>
      <c r="G44" s="6" t="s">
        <v>367</v>
      </c>
      <c r="H44" s="6" t="s">
        <v>367</v>
      </c>
      <c r="I44" s="6" t="str">
        <f t="shared" si="1"/>
        <v>B</v>
      </c>
      <c r="J44" s="6">
        <v>0</v>
      </c>
      <c r="K44" s="6"/>
    </row>
    <row r="45" spans="1:11" ht="15" customHeight="1" x14ac:dyDescent="0.35">
      <c r="A45" s="6">
        <v>44</v>
      </c>
      <c r="B45" s="6" t="s">
        <v>94</v>
      </c>
      <c r="C45" s="6" t="s">
        <v>558</v>
      </c>
      <c r="D45" s="6" t="s">
        <v>556</v>
      </c>
      <c r="E45" s="6"/>
      <c r="F45" s="6" t="s">
        <v>554</v>
      </c>
      <c r="G45" s="6" t="s">
        <v>367</v>
      </c>
      <c r="H45" s="6" t="s">
        <v>367</v>
      </c>
      <c r="I45" s="6" t="str">
        <f t="shared" si="1"/>
        <v>B</v>
      </c>
      <c r="J45" s="6">
        <v>0</v>
      </c>
      <c r="K45" s="6"/>
    </row>
    <row r="46" spans="1:11" ht="15" customHeight="1" x14ac:dyDescent="0.35">
      <c r="A46" s="6">
        <v>45</v>
      </c>
      <c r="B46" s="6" t="s">
        <v>94</v>
      </c>
      <c r="C46" s="6" t="s">
        <v>559</v>
      </c>
      <c r="D46" s="6" t="s">
        <v>228</v>
      </c>
      <c r="E46" s="6"/>
      <c r="F46" s="6" t="s">
        <v>554</v>
      </c>
      <c r="G46" s="6" t="s">
        <v>93</v>
      </c>
      <c r="H46" s="6" t="s">
        <v>93</v>
      </c>
      <c r="I46" s="6" t="str">
        <f t="shared" si="1"/>
        <v>A</v>
      </c>
      <c r="J46" s="6">
        <v>1</v>
      </c>
      <c r="K46" s="6"/>
    </row>
    <row r="47" spans="1:11" ht="15" customHeight="1" x14ac:dyDescent="0.35">
      <c r="A47" s="6">
        <v>46</v>
      </c>
      <c r="B47" s="6" t="s">
        <v>94</v>
      </c>
      <c r="C47" s="6" t="s">
        <v>560</v>
      </c>
      <c r="D47" s="6" t="s">
        <v>556</v>
      </c>
      <c r="E47" s="6"/>
      <c r="F47" s="6" t="s">
        <v>554</v>
      </c>
      <c r="G47" s="6" t="s">
        <v>367</v>
      </c>
      <c r="H47" s="6" t="s">
        <v>367</v>
      </c>
      <c r="I47" s="6" t="str">
        <f t="shared" si="1"/>
        <v>B</v>
      </c>
      <c r="J47" s="6">
        <v>0</v>
      </c>
      <c r="K47" s="6"/>
    </row>
    <row r="48" spans="1:11" ht="15" customHeight="1" x14ac:dyDescent="0.35">
      <c r="A48" s="6">
        <v>47</v>
      </c>
      <c r="B48" s="6" t="s">
        <v>94</v>
      </c>
      <c r="C48" s="6" t="s">
        <v>561</v>
      </c>
      <c r="D48" s="6" t="s">
        <v>556</v>
      </c>
      <c r="E48" s="6"/>
      <c r="F48" s="6" t="s">
        <v>554</v>
      </c>
      <c r="G48" s="6" t="s">
        <v>367</v>
      </c>
      <c r="H48" s="6" t="s">
        <v>367</v>
      </c>
      <c r="I48" s="6" t="str">
        <f t="shared" si="1"/>
        <v>B</v>
      </c>
      <c r="J48" s="6">
        <v>0</v>
      </c>
      <c r="K48" s="6"/>
    </row>
    <row r="49" spans="1:11" ht="15" customHeight="1" x14ac:dyDescent="0.35">
      <c r="A49" s="6">
        <v>48</v>
      </c>
      <c r="B49" s="6" t="s">
        <v>94</v>
      </c>
      <c r="C49" s="6" t="s">
        <v>562</v>
      </c>
      <c r="D49" s="6" t="s">
        <v>556</v>
      </c>
      <c r="E49" s="6"/>
      <c r="F49" s="6" t="s">
        <v>554</v>
      </c>
      <c r="G49" s="6" t="s">
        <v>367</v>
      </c>
      <c r="H49" s="6" t="s">
        <v>367</v>
      </c>
      <c r="I49" s="6" t="str">
        <f t="shared" si="1"/>
        <v>B</v>
      </c>
      <c r="J49" s="6">
        <v>0</v>
      </c>
      <c r="K49" s="6"/>
    </row>
    <row r="50" spans="1:11" ht="15" customHeight="1" x14ac:dyDescent="0.35">
      <c r="A50" s="6">
        <v>49</v>
      </c>
      <c r="B50" s="6" t="s">
        <v>94</v>
      </c>
      <c r="C50" s="6" t="s">
        <v>563</v>
      </c>
      <c r="D50" s="6" t="s">
        <v>228</v>
      </c>
      <c r="E50" s="6"/>
      <c r="F50" s="6" t="s">
        <v>554</v>
      </c>
      <c r="G50" s="6" t="s">
        <v>93</v>
      </c>
      <c r="H50" s="6" t="s">
        <v>93</v>
      </c>
      <c r="I50" s="6" t="str">
        <f t="shared" si="1"/>
        <v>A</v>
      </c>
      <c r="J50" s="6">
        <v>1</v>
      </c>
      <c r="K50" s="6"/>
    </row>
    <row r="51" spans="1:11" ht="15" customHeight="1" x14ac:dyDescent="0.35">
      <c r="A51" s="6">
        <v>50</v>
      </c>
      <c r="B51" s="6" t="s">
        <v>94</v>
      </c>
      <c r="C51" s="6" t="s">
        <v>564</v>
      </c>
      <c r="D51" s="6" t="s">
        <v>565</v>
      </c>
      <c r="E51" s="6" t="s">
        <v>566</v>
      </c>
      <c r="F51" s="6" t="s">
        <v>567</v>
      </c>
      <c r="G51" s="6" t="s">
        <v>425</v>
      </c>
      <c r="H51" s="6" t="s">
        <v>425</v>
      </c>
      <c r="I51" s="6" t="str">
        <f t="shared" si="1"/>
        <v>D</v>
      </c>
      <c r="J51" s="6">
        <v>0</v>
      </c>
      <c r="K51" s="6"/>
    </row>
    <row r="52" spans="1:11" ht="15" customHeight="1" x14ac:dyDescent="0.35">
      <c r="A52" s="6">
        <v>51</v>
      </c>
      <c r="B52" s="6" t="s">
        <v>102</v>
      </c>
      <c r="C52" s="6" t="s">
        <v>377</v>
      </c>
      <c r="D52" s="6" t="s">
        <v>228</v>
      </c>
      <c r="E52" s="6"/>
      <c r="F52" s="6" t="s">
        <v>554</v>
      </c>
      <c r="G52" s="6" t="s">
        <v>93</v>
      </c>
      <c r="H52" s="6" t="s">
        <v>93</v>
      </c>
      <c r="I52" s="6" t="str">
        <f t="shared" si="1"/>
        <v>A</v>
      </c>
      <c r="J52" s="6">
        <v>1</v>
      </c>
      <c r="K52" s="6"/>
    </row>
    <row r="53" spans="1:11" ht="15" customHeight="1" x14ac:dyDescent="0.35">
      <c r="A53" s="6">
        <v>52</v>
      </c>
      <c r="B53" s="6" t="s">
        <v>102</v>
      </c>
      <c r="C53" s="6" t="s">
        <v>555</v>
      </c>
      <c r="D53" s="6" t="s">
        <v>556</v>
      </c>
      <c r="E53" s="6"/>
      <c r="F53" s="6" t="s">
        <v>554</v>
      </c>
      <c r="G53" s="6" t="s">
        <v>367</v>
      </c>
      <c r="H53" s="6" t="s">
        <v>367</v>
      </c>
      <c r="I53" s="6" t="str">
        <f t="shared" si="1"/>
        <v>B</v>
      </c>
      <c r="J53" s="6">
        <v>0</v>
      </c>
      <c r="K53" s="6"/>
    </row>
    <row r="54" spans="1:11" ht="15" customHeight="1" x14ac:dyDescent="0.35">
      <c r="A54" s="6">
        <v>53</v>
      </c>
      <c r="B54" s="6" t="s">
        <v>102</v>
      </c>
      <c r="C54" s="6" t="s">
        <v>557</v>
      </c>
      <c r="D54" s="6" t="s">
        <v>556</v>
      </c>
      <c r="E54" s="6"/>
      <c r="F54" s="6" t="s">
        <v>554</v>
      </c>
      <c r="G54" s="6" t="s">
        <v>367</v>
      </c>
      <c r="H54" s="6" t="s">
        <v>367</v>
      </c>
      <c r="I54" s="6" t="str">
        <f t="shared" si="1"/>
        <v>B</v>
      </c>
      <c r="J54" s="6">
        <v>0</v>
      </c>
      <c r="K54" s="6"/>
    </row>
    <row r="55" spans="1:11" ht="15" customHeight="1" x14ac:dyDescent="0.35">
      <c r="A55" s="6">
        <v>54</v>
      </c>
      <c r="B55" s="6" t="s">
        <v>102</v>
      </c>
      <c r="C55" s="6" t="s">
        <v>558</v>
      </c>
      <c r="D55" s="6" t="s">
        <v>228</v>
      </c>
      <c r="E55" s="6"/>
      <c r="F55" s="6" t="s">
        <v>554</v>
      </c>
      <c r="G55" s="6" t="s">
        <v>93</v>
      </c>
      <c r="H55" s="6" t="s">
        <v>93</v>
      </c>
      <c r="I55" s="6" t="str">
        <f t="shared" si="1"/>
        <v>A</v>
      </c>
      <c r="J55" s="6">
        <v>1</v>
      </c>
      <c r="K55" s="6"/>
    </row>
    <row r="56" spans="1:11" ht="15" customHeight="1" x14ac:dyDescent="0.35">
      <c r="A56" s="6">
        <v>55</v>
      </c>
      <c r="B56" s="6" t="s">
        <v>102</v>
      </c>
      <c r="C56" s="6" t="s">
        <v>559</v>
      </c>
      <c r="D56" s="6" t="s">
        <v>556</v>
      </c>
      <c r="E56" s="6"/>
      <c r="F56" s="6" t="s">
        <v>554</v>
      </c>
      <c r="G56" s="6" t="s">
        <v>367</v>
      </c>
      <c r="H56" s="6" t="s">
        <v>367</v>
      </c>
      <c r="I56" s="6" t="str">
        <f t="shared" si="1"/>
        <v>B</v>
      </c>
      <c r="J56" s="6">
        <v>0</v>
      </c>
      <c r="K56" s="6"/>
    </row>
    <row r="57" spans="1:11" ht="15" customHeight="1" x14ac:dyDescent="0.35">
      <c r="A57" s="6">
        <v>56</v>
      </c>
      <c r="B57" s="6" t="s">
        <v>102</v>
      </c>
      <c r="C57" s="6" t="s">
        <v>560</v>
      </c>
      <c r="D57" s="6" t="s">
        <v>556</v>
      </c>
      <c r="E57" s="6"/>
      <c r="F57" s="6" t="s">
        <v>554</v>
      </c>
      <c r="G57" s="6" t="s">
        <v>367</v>
      </c>
      <c r="H57" s="6" t="s">
        <v>367</v>
      </c>
      <c r="I57" s="6" t="str">
        <f t="shared" si="1"/>
        <v>B</v>
      </c>
      <c r="J57" s="6">
        <v>0</v>
      </c>
      <c r="K57" s="6"/>
    </row>
    <row r="58" spans="1:11" ht="15" customHeight="1" x14ac:dyDescent="0.35">
      <c r="A58" s="6">
        <v>57</v>
      </c>
      <c r="B58" s="6" t="s">
        <v>102</v>
      </c>
      <c r="C58" s="6" t="s">
        <v>561</v>
      </c>
      <c r="D58" s="6" t="s">
        <v>556</v>
      </c>
      <c r="E58" s="6"/>
      <c r="F58" s="6" t="s">
        <v>554</v>
      </c>
      <c r="G58" s="6" t="s">
        <v>367</v>
      </c>
      <c r="H58" s="6" t="s">
        <v>367</v>
      </c>
      <c r="I58" s="6" t="str">
        <f t="shared" si="1"/>
        <v>B</v>
      </c>
      <c r="J58" s="6">
        <v>0</v>
      </c>
      <c r="K58" s="6"/>
    </row>
    <row r="59" spans="1:11" ht="15" customHeight="1" x14ac:dyDescent="0.35">
      <c r="A59" s="6">
        <v>58</v>
      </c>
      <c r="B59" s="6" t="s">
        <v>102</v>
      </c>
      <c r="C59" s="6" t="s">
        <v>562</v>
      </c>
      <c r="D59" s="6" t="s">
        <v>556</v>
      </c>
      <c r="E59" s="6"/>
      <c r="F59" s="6" t="s">
        <v>554</v>
      </c>
      <c r="G59" s="6" t="s">
        <v>367</v>
      </c>
      <c r="H59" s="6" t="s">
        <v>367</v>
      </c>
      <c r="I59" s="6" t="str">
        <f t="shared" si="1"/>
        <v>B</v>
      </c>
      <c r="J59" s="6">
        <v>0</v>
      </c>
      <c r="K59" s="6"/>
    </row>
    <row r="60" spans="1:11" ht="15" customHeight="1" x14ac:dyDescent="0.35">
      <c r="A60" s="6">
        <v>59</v>
      </c>
      <c r="B60" s="6" t="s">
        <v>102</v>
      </c>
      <c r="C60" s="6" t="s">
        <v>563</v>
      </c>
      <c r="D60" s="6" t="s">
        <v>556</v>
      </c>
      <c r="E60" s="6"/>
      <c r="F60" s="6" t="s">
        <v>554</v>
      </c>
      <c r="G60" s="6" t="s">
        <v>367</v>
      </c>
      <c r="H60" s="6" t="s">
        <v>367</v>
      </c>
      <c r="I60" s="6" t="str">
        <f t="shared" si="1"/>
        <v>B</v>
      </c>
      <c r="J60" s="6">
        <v>0</v>
      </c>
      <c r="K60" s="6"/>
    </row>
    <row r="61" spans="1:11" ht="15" customHeight="1" x14ac:dyDescent="0.35">
      <c r="A61" s="6">
        <v>60</v>
      </c>
      <c r="B61" s="6" t="s">
        <v>102</v>
      </c>
      <c r="C61" s="6" t="s">
        <v>564</v>
      </c>
      <c r="D61" s="6" t="s">
        <v>565</v>
      </c>
      <c r="E61" s="6" t="s">
        <v>566</v>
      </c>
      <c r="F61" s="6" t="s">
        <v>567</v>
      </c>
      <c r="G61" s="6" t="s">
        <v>425</v>
      </c>
      <c r="H61" s="6" t="s">
        <v>425</v>
      </c>
      <c r="I61" s="6" t="str">
        <f t="shared" si="1"/>
        <v>D</v>
      </c>
      <c r="J61" s="6">
        <v>0</v>
      </c>
      <c r="K61" s="6"/>
    </row>
    <row r="62" spans="1:11" ht="15" customHeight="1" x14ac:dyDescent="0.35">
      <c r="A62" s="6">
        <v>61</v>
      </c>
      <c r="B62" s="6" t="s">
        <v>108</v>
      </c>
      <c r="C62" s="6" t="s">
        <v>377</v>
      </c>
      <c r="D62" s="6" t="s">
        <v>228</v>
      </c>
      <c r="E62" s="6"/>
      <c r="F62" s="6" t="s">
        <v>554</v>
      </c>
      <c r="G62" s="6" t="s">
        <v>93</v>
      </c>
      <c r="H62" s="6" t="s">
        <v>93</v>
      </c>
      <c r="I62" s="6" t="str">
        <f t="shared" si="1"/>
        <v>A</v>
      </c>
      <c r="J62" s="6">
        <v>1</v>
      </c>
      <c r="K62" s="6"/>
    </row>
    <row r="63" spans="1:11" ht="15" customHeight="1" x14ac:dyDescent="0.35">
      <c r="A63" s="6">
        <v>62</v>
      </c>
      <c r="B63" s="6" t="s">
        <v>108</v>
      </c>
      <c r="C63" s="6" t="s">
        <v>555</v>
      </c>
      <c r="D63" s="6" t="s">
        <v>556</v>
      </c>
      <c r="E63" s="6"/>
      <c r="F63" s="6" t="s">
        <v>554</v>
      </c>
      <c r="G63" s="6" t="s">
        <v>367</v>
      </c>
      <c r="H63" s="6" t="s">
        <v>367</v>
      </c>
      <c r="I63" s="6" t="str">
        <f t="shared" si="1"/>
        <v>B</v>
      </c>
      <c r="J63" s="6">
        <v>0</v>
      </c>
      <c r="K63" s="6"/>
    </row>
    <row r="64" spans="1:11" ht="15" customHeight="1" x14ac:dyDescent="0.35">
      <c r="A64" s="6">
        <v>63</v>
      </c>
      <c r="B64" s="6" t="s">
        <v>108</v>
      </c>
      <c r="C64" s="6" t="s">
        <v>557</v>
      </c>
      <c r="D64" s="6" t="s">
        <v>556</v>
      </c>
      <c r="E64" s="6"/>
      <c r="F64" s="6" t="s">
        <v>554</v>
      </c>
      <c r="G64" s="6" t="s">
        <v>367</v>
      </c>
      <c r="H64" s="6" t="s">
        <v>367</v>
      </c>
      <c r="I64" s="6" t="str">
        <f t="shared" si="1"/>
        <v>B</v>
      </c>
      <c r="J64" s="6">
        <v>0</v>
      </c>
      <c r="K64" s="6"/>
    </row>
    <row r="65" spans="1:11" ht="15" customHeight="1" x14ac:dyDescent="0.35">
      <c r="A65" s="6">
        <v>64</v>
      </c>
      <c r="B65" s="6" t="s">
        <v>108</v>
      </c>
      <c r="C65" s="6" t="s">
        <v>558</v>
      </c>
      <c r="D65" s="6" t="s">
        <v>228</v>
      </c>
      <c r="E65" s="6"/>
      <c r="F65" s="6" t="s">
        <v>554</v>
      </c>
      <c r="G65" s="6" t="s">
        <v>93</v>
      </c>
      <c r="H65" s="6" t="s">
        <v>93</v>
      </c>
      <c r="I65" s="6" t="str">
        <f t="shared" si="1"/>
        <v>A</v>
      </c>
      <c r="J65" s="6">
        <v>1</v>
      </c>
      <c r="K65" s="6"/>
    </row>
    <row r="66" spans="1:11" ht="15" customHeight="1" x14ac:dyDescent="0.35">
      <c r="A66" s="6">
        <v>65</v>
      </c>
      <c r="B66" s="6" t="s">
        <v>108</v>
      </c>
      <c r="C66" s="6" t="s">
        <v>559</v>
      </c>
      <c r="D66" s="6" t="s">
        <v>556</v>
      </c>
      <c r="E66" s="6"/>
      <c r="F66" s="6" t="s">
        <v>554</v>
      </c>
      <c r="G66" s="6" t="s">
        <v>367</v>
      </c>
      <c r="H66" s="6" t="s">
        <v>367</v>
      </c>
      <c r="I66" s="6" t="str">
        <f t="shared" ref="I66:I97" si="2">IF(OR(G66="",H66=""),"D",IF(OR(G66="D",H66="D"),"D",IF((CODE(G66)+CODE(H66)-130)&lt;=3,"A",IF((CODE(G66)+CODE(H66)-130)=4,"B","C"))))</f>
        <v>B</v>
      </c>
      <c r="J66" s="6">
        <v>0</v>
      </c>
      <c r="K66" s="6"/>
    </row>
    <row r="67" spans="1:11" ht="15" customHeight="1" x14ac:dyDescent="0.35">
      <c r="A67" s="6">
        <v>66</v>
      </c>
      <c r="B67" s="6" t="s">
        <v>108</v>
      </c>
      <c r="C67" s="6" t="s">
        <v>560</v>
      </c>
      <c r="D67" s="6" t="s">
        <v>556</v>
      </c>
      <c r="E67" s="6"/>
      <c r="F67" s="6" t="s">
        <v>554</v>
      </c>
      <c r="G67" s="6" t="s">
        <v>367</v>
      </c>
      <c r="H67" s="6" t="s">
        <v>367</v>
      </c>
      <c r="I67" s="6" t="str">
        <f t="shared" si="2"/>
        <v>B</v>
      </c>
      <c r="J67" s="6">
        <v>0</v>
      </c>
      <c r="K67" s="6"/>
    </row>
    <row r="68" spans="1:11" ht="15" customHeight="1" x14ac:dyDescent="0.35">
      <c r="A68" s="6">
        <v>67</v>
      </c>
      <c r="B68" s="6" t="s">
        <v>108</v>
      </c>
      <c r="C68" s="6" t="s">
        <v>561</v>
      </c>
      <c r="D68" s="6" t="s">
        <v>556</v>
      </c>
      <c r="E68" s="6"/>
      <c r="F68" s="6" t="s">
        <v>554</v>
      </c>
      <c r="G68" s="6" t="s">
        <v>367</v>
      </c>
      <c r="H68" s="6" t="s">
        <v>367</v>
      </c>
      <c r="I68" s="6" t="str">
        <f t="shared" si="2"/>
        <v>B</v>
      </c>
      <c r="J68" s="6">
        <v>0</v>
      </c>
      <c r="K68" s="6"/>
    </row>
    <row r="69" spans="1:11" ht="15" customHeight="1" x14ac:dyDescent="0.35">
      <c r="A69" s="6">
        <v>68</v>
      </c>
      <c r="B69" s="6" t="s">
        <v>108</v>
      </c>
      <c r="C69" s="6" t="s">
        <v>562</v>
      </c>
      <c r="D69" s="6" t="s">
        <v>556</v>
      </c>
      <c r="E69" s="6"/>
      <c r="F69" s="6" t="s">
        <v>554</v>
      </c>
      <c r="G69" s="6" t="s">
        <v>367</v>
      </c>
      <c r="H69" s="6" t="s">
        <v>367</v>
      </c>
      <c r="I69" s="6" t="str">
        <f t="shared" si="2"/>
        <v>B</v>
      </c>
      <c r="J69" s="6">
        <v>0</v>
      </c>
      <c r="K69" s="6"/>
    </row>
    <row r="70" spans="1:11" ht="15" customHeight="1" x14ac:dyDescent="0.35">
      <c r="A70" s="6">
        <v>69</v>
      </c>
      <c r="B70" s="6" t="s">
        <v>108</v>
      </c>
      <c r="C70" s="6" t="s">
        <v>563</v>
      </c>
      <c r="D70" s="6" t="s">
        <v>556</v>
      </c>
      <c r="E70" s="6"/>
      <c r="F70" s="6" t="s">
        <v>554</v>
      </c>
      <c r="G70" s="6" t="s">
        <v>367</v>
      </c>
      <c r="H70" s="6" t="s">
        <v>367</v>
      </c>
      <c r="I70" s="6" t="str">
        <f t="shared" si="2"/>
        <v>B</v>
      </c>
      <c r="J70" s="6">
        <v>0</v>
      </c>
      <c r="K70" s="6"/>
    </row>
    <row r="71" spans="1:11" ht="15" customHeight="1" x14ac:dyDescent="0.35">
      <c r="A71" s="6">
        <v>70</v>
      </c>
      <c r="B71" s="6" t="s">
        <v>108</v>
      </c>
      <c r="C71" s="6" t="s">
        <v>564</v>
      </c>
      <c r="D71" s="6" t="s">
        <v>565</v>
      </c>
      <c r="E71" s="6" t="s">
        <v>566</v>
      </c>
      <c r="F71" s="6" t="s">
        <v>567</v>
      </c>
      <c r="G71" s="6" t="s">
        <v>425</v>
      </c>
      <c r="H71" s="6" t="s">
        <v>425</v>
      </c>
      <c r="I71" s="6" t="str">
        <f t="shared" si="2"/>
        <v>D</v>
      </c>
      <c r="J71" s="6">
        <v>0</v>
      </c>
      <c r="K71" s="6"/>
    </row>
    <row r="72" spans="1:11" ht="15" customHeight="1" x14ac:dyDescent="0.35">
      <c r="A72" s="6">
        <v>71</v>
      </c>
      <c r="B72" s="6" t="s">
        <v>113</v>
      </c>
      <c r="C72" s="6" t="s">
        <v>377</v>
      </c>
      <c r="D72" s="6" t="s">
        <v>228</v>
      </c>
      <c r="E72" s="6"/>
      <c r="F72" s="6" t="s">
        <v>554</v>
      </c>
      <c r="G72" s="6" t="s">
        <v>93</v>
      </c>
      <c r="H72" s="6" t="s">
        <v>93</v>
      </c>
      <c r="I72" s="6" t="str">
        <f t="shared" si="2"/>
        <v>A</v>
      </c>
      <c r="J72" s="6">
        <v>1</v>
      </c>
      <c r="K72" s="6"/>
    </row>
    <row r="73" spans="1:11" ht="15" customHeight="1" x14ac:dyDescent="0.35">
      <c r="A73" s="6">
        <v>72</v>
      </c>
      <c r="B73" s="6" t="s">
        <v>113</v>
      </c>
      <c r="C73" s="6" t="s">
        <v>555</v>
      </c>
      <c r="D73" s="6" t="s">
        <v>556</v>
      </c>
      <c r="E73" s="6"/>
      <c r="F73" s="6" t="s">
        <v>554</v>
      </c>
      <c r="G73" s="6" t="s">
        <v>367</v>
      </c>
      <c r="H73" s="6" t="s">
        <v>367</v>
      </c>
      <c r="I73" s="6" t="str">
        <f t="shared" si="2"/>
        <v>B</v>
      </c>
      <c r="J73" s="6">
        <v>0</v>
      </c>
      <c r="K73" s="6"/>
    </row>
    <row r="74" spans="1:11" ht="15" customHeight="1" x14ac:dyDescent="0.35">
      <c r="A74" s="6">
        <v>73</v>
      </c>
      <c r="B74" s="6" t="s">
        <v>113</v>
      </c>
      <c r="C74" s="6" t="s">
        <v>557</v>
      </c>
      <c r="D74" s="6" t="s">
        <v>556</v>
      </c>
      <c r="E74" s="6"/>
      <c r="F74" s="6" t="s">
        <v>554</v>
      </c>
      <c r="G74" s="6" t="s">
        <v>367</v>
      </c>
      <c r="H74" s="6" t="s">
        <v>367</v>
      </c>
      <c r="I74" s="6" t="str">
        <f t="shared" si="2"/>
        <v>B</v>
      </c>
      <c r="J74" s="6">
        <v>0</v>
      </c>
      <c r="K74" s="6"/>
    </row>
    <row r="75" spans="1:11" ht="15" customHeight="1" x14ac:dyDescent="0.35">
      <c r="A75" s="6">
        <v>74</v>
      </c>
      <c r="B75" s="6" t="s">
        <v>113</v>
      </c>
      <c r="C75" s="6" t="s">
        <v>558</v>
      </c>
      <c r="D75" s="6" t="s">
        <v>228</v>
      </c>
      <c r="E75" s="6"/>
      <c r="F75" s="6" t="s">
        <v>554</v>
      </c>
      <c r="G75" s="6" t="s">
        <v>93</v>
      </c>
      <c r="H75" s="6" t="s">
        <v>93</v>
      </c>
      <c r="I75" s="6" t="str">
        <f t="shared" si="2"/>
        <v>A</v>
      </c>
      <c r="J75" s="6">
        <v>1</v>
      </c>
      <c r="K75" s="6"/>
    </row>
    <row r="76" spans="1:11" ht="15" customHeight="1" x14ac:dyDescent="0.35">
      <c r="A76" s="6">
        <v>75</v>
      </c>
      <c r="B76" s="6" t="s">
        <v>113</v>
      </c>
      <c r="C76" s="6" t="s">
        <v>559</v>
      </c>
      <c r="D76" s="6" t="s">
        <v>556</v>
      </c>
      <c r="E76" s="6"/>
      <c r="F76" s="6" t="s">
        <v>554</v>
      </c>
      <c r="G76" s="6" t="s">
        <v>367</v>
      </c>
      <c r="H76" s="6" t="s">
        <v>367</v>
      </c>
      <c r="I76" s="6" t="str">
        <f t="shared" si="2"/>
        <v>B</v>
      </c>
      <c r="J76" s="6">
        <v>0</v>
      </c>
      <c r="K76" s="6"/>
    </row>
    <row r="77" spans="1:11" ht="15" customHeight="1" x14ac:dyDescent="0.35">
      <c r="A77" s="6">
        <v>76</v>
      </c>
      <c r="B77" s="6" t="s">
        <v>113</v>
      </c>
      <c r="C77" s="6" t="s">
        <v>560</v>
      </c>
      <c r="D77" s="6" t="s">
        <v>556</v>
      </c>
      <c r="E77" s="6"/>
      <c r="F77" s="6" t="s">
        <v>554</v>
      </c>
      <c r="G77" s="6" t="s">
        <v>367</v>
      </c>
      <c r="H77" s="6" t="s">
        <v>367</v>
      </c>
      <c r="I77" s="6" t="str">
        <f t="shared" si="2"/>
        <v>B</v>
      </c>
      <c r="J77" s="6">
        <v>0</v>
      </c>
      <c r="K77" s="6"/>
    </row>
    <row r="78" spans="1:11" ht="15" customHeight="1" x14ac:dyDescent="0.35">
      <c r="A78" s="6">
        <v>77</v>
      </c>
      <c r="B78" s="6" t="s">
        <v>113</v>
      </c>
      <c r="C78" s="6" t="s">
        <v>561</v>
      </c>
      <c r="D78" s="6" t="s">
        <v>556</v>
      </c>
      <c r="E78" s="6"/>
      <c r="F78" s="6" t="s">
        <v>554</v>
      </c>
      <c r="G78" s="6" t="s">
        <v>367</v>
      </c>
      <c r="H78" s="6" t="s">
        <v>367</v>
      </c>
      <c r="I78" s="6" t="str">
        <f t="shared" si="2"/>
        <v>B</v>
      </c>
      <c r="J78" s="6">
        <v>0</v>
      </c>
      <c r="K78" s="6"/>
    </row>
    <row r="79" spans="1:11" ht="15" customHeight="1" x14ac:dyDescent="0.35">
      <c r="A79" s="6">
        <v>78</v>
      </c>
      <c r="B79" s="6" t="s">
        <v>113</v>
      </c>
      <c r="C79" s="6" t="s">
        <v>562</v>
      </c>
      <c r="D79" s="6" t="s">
        <v>556</v>
      </c>
      <c r="E79" s="6"/>
      <c r="F79" s="6" t="s">
        <v>554</v>
      </c>
      <c r="G79" s="6" t="s">
        <v>367</v>
      </c>
      <c r="H79" s="6" t="s">
        <v>367</v>
      </c>
      <c r="I79" s="6" t="str">
        <f t="shared" si="2"/>
        <v>B</v>
      </c>
      <c r="J79" s="6">
        <v>0</v>
      </c>
      <c r="K79" s="6"/>
    </row>
    <row r="80" spans="1:11" ht="15" customHeight="1" x14ac:dyDescent="0.35">
      <c r="A80" s="6">
        <v>79</v>
      </c>
      <c r="B80" s="6" t="s">
        <v>113</v>
      </c>
      <c r="C80" s="6" t="s">
        <v>563</v>
      </c>
      <c r="D80" s="6" t="s">
        <v>556</v>
      </c>
      <c r="E80" s="6"/>
      <c r="F80" s="6" t="s">
        <v>554</v>
      </c>
      <c r="G80" s="6" t="s">
        <v>367</v>
      </c>
      <c r="H80" s="6" t="s">
        <v>367</v>
      </c>
      <c r="I80" s="6" t="str">
        <f t="shared" si="2"/>
        <v>B</v>
      </c>
      <c r="J80" s="6">
        <v>0</v>
      </c>
      <c r="K80" s="6"/>
    </row>
    <row r="81" spans="1:11" ht="15" customHeight="1" x14ac:dyDescent="0.35">
      <c r="A81" s="6">
        <v>80</v>
      </c>
      <c r="B81" s="6" t="s">
        <v>113</v>
      </c>
      <c r="C81" s="6" t="s">
        <v>564</v>
      </c>
      <c r="D81" s="6" t="s">
        <v>565</v>
      </c>
      <c r="E81" s="6" t="s">
        <v>566</v>
      </c>
      <c r="F81" s="6" t="s">
        <v>567</v>
      </c>
      <c r="G81" s="6" t="s">
        <v>425</v>
      </c>
      <c r="H81" s="6" t="s">
        <v>425</v>
      </c>
      <c r="I81" s="6" t="str">
        <f t="shared" si="2"/>
        <v>D</v>
      </c>
      <c r="J81" s="6">
        <v>0</v>
      </c>
      <c r="K81" s="6"/>
    </row>
    <row r="82" spans="1:11" ht="15" customHeight="1" x14ac:dyDescent="0.35">
      <c r="A82" s="6">
        <v>81</v>
      </c>
      <c r="B82" s="6" t="s">
        <v>118</v>
      </c>
      <c r="C82" s="6" t="s">
        <v>377</v>
      </c>
      <c r="D82" s="6" t="s">
        <v>228</v>
      </c>
      <c r="E82" s="6"/>
      <c r="F82" s="6" t="s">
        <v>554</v>
      </c>
      <c r="G82" s="6" t="s">
        <v>93</v>
      </c>
      <c r="H82" s="6" t="s">
        <v>93</v>
      </c>
      <c r="I82" s="6" t="str">
        <f t="shared" si="2"/>
        <v>A</v>
      </c>
      <c r="J82" s="6">
        <v>1</v>
      </c>
      <c r="K82" s="6"/>
    </row>
    <row r="83" spans="1:11" ht="15" customHeight="1" x14ac:dyDescent="0.35">
      <c r="A83" s="6">
        <v>82</v>
      </c>
      <c r="B83" s="6" t="s">
        <v>118</v>
      </c>
      <c r="C83" s="6" t="s">
        <v>555</v>
      </c>
      <c r="D83" s="6" t="s">
        <v>556</v>
      </c>
      <c r="E83" s="6"/>
      <c r="F83" s="6" t="s">
        <v>554</v>
      </c>
      <c r="G83" s="6" t="s">
        <v>367</v>
      </c>
      <c r="H83" s="6" t="s">
        <v>367</v>
      </c>
      <c r="I83" s="6" t="str">
        <f t="shared" si="2"/>
        <v>B</v>
      </c>
      <c r="J83" s="6">
        <v>0</v>
      </c>
      <c r="K83" s="6"/>
    </row>
    <row r="84" spans="1:11" ht="15" customHeight="1" x14ac:dyDescent="0.35">
      <c r="A84" s="6">
        <v>83</v>
      </c>
      <c r="B84" s="6" t="s">
        <v>118</v>
      </c>
      <c r="C84" s="6" t="s">
        <v>557</v>
      </c>
      <c r="D84" s="6" t="s">
        <v>556</v>
      </c>
      <c r="E84" s="6"/>
      <c r="F84" s="6" t="s">
        <v>554</v>
      </c>
      <c r="G84" s="6" t="s">
        <v>367</v>
      </c>
      <c r="H84" s="6" t="s">
        <v>367</v>
      </c>
      <c r="I84" s="6" t="str">
        <f t="shared" si="2"/>
        <v>B</v>
      </c>
      <c r="J84" s="6">
        <v>0</v>
      </c>
      <c r="K84" s="6"/>
    </row>
    <row r="85" spans="1:11" ht="15" customHeight="1" x14ac:dyDescent="0.35">
      <c r="A85" s="6">
        <v>84</v>
      </c>
      <c r="B85" s="6" t="s">
        <v>118</v>
      </c>
      <c r="C85" s="6" t="s">
        <v>558</v>
      </c>
      <c r="D85" s="6" t="s">
        <v>556</v>
      </c>
      <c r="E85" s="6"/>
      <c r="F85" s="6" t="s">
        <v>554</v>
      </c>
      <c r="G85" s="6" t="s">
        <v>367</v>
      </c>
      <c r="H85" s="6" t="s">
        <v>367</v>
      </c>
      <c r="I85" s="6" t="str">
        <f t="shared" si="2"/>
        <v>B</v>
      </c>
      <c r="J85" s="6">
        <v>0</v>
      </c>
      <c r="K85" s="6"/>
    </row>
    <row r="86" spans="1:11" ht="15" customHeight="1" x14ac:dyDescent="0.35">
      <c r="A86" s="6">
        <v>85</v>
      </c>
      <c r="B86" s="6" t="s">
        <v>118</v>
      </c>
      <c r="C86" s="6" t="s">
        <v>559</v>
      </c>
      <c r="D86" s="6" t="s">
        <v>228</v>
      </c>
      <c r="E86" s="6"/>
      <c r="F86" s="6" t="s">
        <v>554</v>
      </c>
      <c r="G86" s="6" t="s">
        <v>93</v>
      </c>
      <c r="H86" s="6" t="s">
        <v>93</v>
      </c>
      <c r="I86" s="6" t="str">
        <f t="shared" si="2"/>
        <v>A</v>
      </c>
      <c r="J86" s="6">
        <v>1</v>
      </c>
      <c r="K86" s="6"/>
    </row>
    <row r="87" spans="1:11" ht="15" customHeight="1" x14ac:dyDescent="0.35">
      <c r="A87" s="6">
        <v>86</v>
      </c>
      <c r="B87" s="6" t="s">
        <v>118</v>
      </c>
      <c r="C87" s="6" t="s">
        <v>560</v>
      </c>
      <c r="D87" s="6" t="s">
        <v>556</v>
      </c>
      <c r="E87" s="6"/>
      <c r="F87" s="6" t="s">
        <v>554</v>
      </c>
      <c r="G87" s="6" t="s">
        <v>367</v>
      </c>
      <c r="H87" s="6" t="s">
        <v>367</v>
      </c>
      <c r="I87" s="6" t="str">
        <f t="shared" si="2"/>
        <v>B</v>
      </c>
      <c r="J87" s="6">
        <v>0</v>
      </c>
      <c r="K87" s="6"/>
    </row>
    <row r="88" spans="1:11" ht="15" customHeight="1" x14ac:dyDescent="0.35">
      <c r="A88" s="6">
        <v>87</v>
      </c>
      <c r="B88" s="6" t="s">
        <v>118</v>
      </c>
      <c r="C88" s="6" t="s">
        <v>561</v>
      </c>
      <c r="D88" s="6" t="s">
        <v>556</v>
      </c>
      <c r="E88" s="6"/>
      <c r="F88" s="6" t="s">
        <v>554</v>
      </c>
      <c r="G88" s="6" t="s">
        <v>367</v>
      </c>
      <c r="H88" s="6" t="s">
        <v>367</v>
      </c>
      <c r="I88" s="6" t="str">
        <f t="shared" si="2"/>
        <v>B</v>
      </c>
      <c r="J88" s="6">
        <v>0</v>
      </c>
      <c r="K88" s="6"/>
    </row>
    <row r="89" spans="1:11" ht="15" customHeight="1" x14ac:dyDescent="0.35">
      <c r="A89" s="6">
        <v>88</v>
      </c>
      <c r="B89" s="6" t="s">
        <v>118</v>
      </c>
      <c r="C89" s="6" t="s">
        <v>562</v>
      </c>
      <c r="D89" s="6" t="s">
        <v>556</v>
      </c>
      <c r="E89" s="6"/>
      <c r="F89" s="6" t="s">
        <v>554</v>
      </c>
      <c r="G89" s="6" t="s">
        <v>367</v>
      </c>
      <c r="H89" s="6" t="s">
        <v>367</v>
      </c>
      <c r="I89" s="6" t="str">
        <f t="shared" si="2"/>
        <v>B</v>
      </c>
      <c r="J89" s="6">
        <v>0</v>
      </c>
      <c r="K89" s="6"/>
    </row>
    <row r="90" spans="1:11" ht="15" customHeight="1" x14ac:dyDescent="0.35">
      <c r="A90" s="6">
        <v>89</v>
      </c>
      <c r="B90" s="6" t="s">
        <v>118</v>
      </c>
      <c r="C90" s="6" t="s">
        <v>563</v>
      </c>
      <c r="D90" s="6" t="s">
        <v>228</v>
      </c>
      <c r="E90" s="6"/>
      <c r="F90" s="6" t="s">
        <v>554</v>
      </c>
      <c r="G90" s="6" t="s">
        <v>93</v>
      </c>
      <c r="H90" s="6" t="s">
        <v>93</v>
      </c>
      <c r="I90" s="6" t="str">
        <f t="shared" si="2"/>
        <v>A</v>
      </c>
      <c r="J90" s="6">
        <v>1</v>
      </c>
      <c r="K90" s="6"/>
    </row>
    <row r="91" spans="1:11" ht="15" customHeight="1" x14ac:dyDescent="0.35">
      <c r="A91" s="6">
        <v>90</v>
      </c>
      <c r="B91" s="6" t="s">
        <v>118</v>
      </c>
      <c r="C91" s="6" t="s">
        <v>564</v>
      </c>
      <c r="D91" s="6" t="s">
        <v>565</v>
      </c>
      <c r="E91" s="6" t="s">
        <v>566</v>
      </c>
      <c r="F91" s="6" t="s">
        <v>567</v>
      </c>
      <c r="G91" s="6" t="s">
        <v>425</v>
      </c>
      <c r="H91" s="6" t="s">
        <v>425</v>
      </c>
      <c r="I91" s="6" t="str">
        <f t="shared" si="2"/>
        <v>D</v>
      </c>
      <c r="J91" s="6">
        <v>0</v>
      </c>
      <c r="K91" s="6"/>
    </row>
    <row r="92" spans="1:11" ht="15" customHeight="1" x14ac:dyDescent="0.35">
      <c r="A92" s="6">
        <v>91</v>
      </c>
      <c r="B92" s="6" t="s">
        <v>125</v>
      </c>
      <c r="C92" s="6" t="s">
        <v>377</v>
      </c>
      <c r="D92" s="6" t="s">
        <v>228</v>
      </c>
      <c r="E92" s="6"/>
      <c r="F92" s="6" t="s">
        <v>554</v>
      </c>
      <c r="G92" s="6" t="s">
        <v>93</v>
      </c>
      <c r="H92" s="6" t="s">
        <v>93</v>
      </c>
      <c r="I92" s="6" t="str">
        <f t="shared" si="2"/>
        <v>A</v>
      </c>
      <c r="J92" s="6">
        <v>1</v>
      </c>
      <c r="K92" s="6"/>
    </row>
    <row r="93" spans="1:11" ht="15" customHeight="1" x14ac:dyDescent="0.35">
      <c r="A93" s="6">
        <v>92</v>
      </c>
      <c r="B93" s="6" t="s">
        <v>125</v>
      </c>
      <c r="C93" s="6" t="s">
        <v>555</v>
      </c>
      <c r="D93" s="6" t="s">
        <v>556</v>
      </c>
      <c r="E93" s="6"/>
      <c r="F93" s="6" t="s">
        <v>554</v>
      </c>
      <c r="G93" s="6" t="s">
        <v>367</v>
      </c>
      <c r="H93" s="6" t="s">
        <v>367</v>
      </c>
      <c r="I93" s="6" t="str">
        <f t="shared" si="2"/>
        <v>B</v>
      </c>
      <c r="J93" s="6">
        <v>0</v>
      </c>
      <c r="K93" s="6"/>
    </row>
    <row r="94" spans="1:11" ht="15" customHeight="1" x14ac:dyDescent="0.35">
      <c r="A94" s="6">
        <v>93</v>
      </c>
      <c r="B94" s="6" t="s">
        <v>125</v>
      </c>
      <c r="C94" s="6" t="s">
        <v>557</v>
      </c>
      <c r="D94" s="6" t="s">
        <v>556</v>
      </c>
      <c r="E94" s="6"/>
      <c r="F94" s="6" t="s">
        <v>554</v>
      </c>
      <c r="G94" s="6" t="s">
        <v>367</v>
      </c>
      <c r="H94" s="6" t="s">
        <v>367</v>
      </c>
      <c r="I94" s="6" t="str">
        <f t="shared" si="2"/>
        <v>B</v>
      </c>
      <c r="J94" s="6">
        <v>0</v>
      </c>
      <c r="K94" s="6"/>
    </row>
    <row r="95" spans="1:11" ht="15" customHeight="1" x14ac:dyDescent="0.35">
      <c r="A95" s="6">
        <v>94</v>
      </c>
      <c r="B95" s="6" t="s">
        <v>125</v>
      </c>
      <c r="C95" s="6" t="s">
        <v>558</v>
      </c>
      <c r="D95" s="6" t="s">
        <v>556</v>
      </c>
      <c r="E95" s="6"/>
      <c r="F95" s="6" t="s">
        <v>554</v>
      </c>
      <c r="G95" s="6" t="s">
        <v>367</v>
      </c>
      <c r="H95" s="6" t="s">
        <v>367</v>
      </c>
      <c r="I95" s="6" t="str">
        <f t="shared" si="2"/>
        <v>B</v>
      </c>
      <c r="J95" s="6">
        <v>0</v>
      </c>
      <c r="K95" s="6"/>
    </row>
    <row r="96" spans="1:11" ht="15" customHeight="1" x14ac:dyDescent="0.35">
      <c r="A96" s="6">
        <v>95</v>
      </c>
      <c r="B96" s="6" t="s">
        <v>125</v>
      </c>
      <c r="C96" s="6" t="s">
        <v>559</v>
      </c>
      <c r="D96" s="6" t="s">
        <v>228</v>
      </c>
      <c r="E96" s="6"/>
      <c r="F96" s="6" t="s">
        <v>554</v>
      </c>
      <c r="G96" s="6" t="s">
        <v>93</v>
      </c>
      <c r="H96" s="6" t="s">
        <v>93</v>
      </c>
      <c r="I96" s="6" t="str">
        <f t="shared" si="2"/>
        <v>A</v>
      </c>
      <c r="J96" s="6">
        <v>1</v>
      </c>
      <c r="K96" s="6"/>
    </row>
    <row r="97" spans="1:11" ht="15" customHeight="1" x14ac:dyDescent="0.35">
      <c r="A97" s="6">
        <v>96</v>
      </c>
      <c r="B97" s="6" t="s">
        <v>125</v>
      </c>
      <c r="C97" s="6" t="s">
        <v>560</v>
      </c>
      <c r="D97" s="6" t="s">
        <v>556</v>
      </c>
      <c r="E97" s="6"/>
      <c r="F97" s="6" t="s">
        <v>554</v>
      </c>
      <c r="G97" s="6" t="s">
        <v>367</v>
      </c>
      <c r="H97" s="6" t="s">
        <v>367</v>
      </c>
      <c r="I97" s="6" t="str">
        <f t="shared" si="2"/>
        <v>B</v>
      </c>
      <c r="J97" s="6">
        <v>0</v>
      </c>
      <c r="K97" s="6"/>
    </row>
    <row r="98" spans="1:11" ht="15" customHeight="1" x14ac:dyDescent="0.35">
      <c r="A98" s="6">
        <v>97</v>
      </c>
      <c r="B98" s="6" t="s">
        <v>125</v>
      </c>
      <c r="C98" s="6" t="s">
        <v>561</v>
      </c>
      <c r="D98" s="6" t="s">
        <v>556</v>
      </c>
      <c r="E98" s="6"/>
      <c r="F98" s="6" t="s">
        <v>554</v>
      </c>
      <c r="G98" s="6" t="s">
        <v>367</v>
      </c>
      <c r="H98" s="6" t="s">
        <v>367</v>
      </c>
      <c r="I98" s="6" t="str">
        <f t="shared" ref="I98:I129" si="3">IF(OR(G98="",H98=""),"D",IF(OR(G98="D",H98="D"),"D",IF((CODE(G98)+CODE(H98)-130)&lt;=3,"A",IF((CODE(G98)+CODE(H98)-130)=4,"B","C"))))</f>
        <v>B</v>
      </c>
      <c r="J98" s="6">
        <v>0</v>
      </c>
      <c r="K98" s="6"/>
    </row>
    <row r="99" spans="1:11" ht="15" customHeight="1" x14ac:dyDescent="0.35">
      <c r="A99" s="6">
        <v>98</v>
      </c>
      <c r="B99" s="6" t="s">
        <v>125</v>
      </c>
      <c r="C99" s="6" t="s">
        <v>562</v>
      </c>
      <c r="D99" s="6" t="s">
        <v>556</v>
      </c>
      <c r="E99" s="6"/>
      <c r="F99" s="6" t="s">
        <v>554</v>
      </c>
      <c r="G99" s="6" t="s">
        <v>367</v>
      </c>
      <c r="H99" s="6" t="s">
        <v>367</v>
      </c>
      <c r="I99" s="6" t="str">
        <f t="shared" si="3"/>
        <v>B</v>
      </c>
      <c r="J99" s="6">
        <v>0</v>
      </c>
      <c r="K99" s="6"/>
    </row>
    <row r="100" spans="1:11" ht="15" customHeight="1" x14ac:dyDescent="0.35">
      <c r="A100" s="6">
        <v>99</v>
      </c>
      <c r="B100" s="6" t="s">
        <v>125</v>
      </c>
      <c r="C100" s="6" t="s">
        <v>563</v>
      </c>
      <c r="D100" s="6" t="s">
        <v>228</v>
      </c>
      <c r="E100" s="6"/>
      <c r="F100" s="6" t="s">
        <v>554</v>
      </c>
      <c r="G100" s="6" t="s">
        <v>93</v>
      </c>
      <c r="H100" s="6" t="s">
        <v>93</v>
      </c>
      <c r="I100" s="6" t="str">
        <f t="shared" si="3"/>
        <v>A</v>
      </c>
      <c r="J100" s="6">
        <v>1</v>
      </c>
      <c r="K100" s="6"/>
    </row>
    <row r="101" spans="1:11" ht="15" customHeight="1" x14ac:dyDescent="0.35">
      <c r="A101" s="6">
        <v>100</v>
      </c>
      <c r="B101" s="6" t="s">
        <v>125</v>
      </c>
      <c r="C101" s="6" t="s">
        <v>564</v>
      </c>
      <c r="D101" s="6" t="s">
        <v>565</v>
      </c>
      <c r="E101" s="6" t="s">
        <v>566</v>
      </c>
      <c r="F101" s="6" t="s">
        <v>567</v>
      </c>
      <c r="G101" s="6" t="s">
        <v>425</v>
      </c>
      <c r="H101" s="6" t="s">
        <v>425</v>
      </c>
      <c r="I101" s="6" t="str">
        <f t="shared" si="3"/>
        <v>D</v>
      </c>
      <c r="J101" s="6">
        <v>0</v>
      </c>
      <c r="K101" s="6"/>
    </row>
    <row r="102" spans="1:11" ht="15" customHeight="1" x14ac:dyDescent="0.35">
      <c r="A102" s="6">
        <v>101</v>
      </c>
      <c r="B102" s="6" t="s">
        <v>131</v>
      </c>
      <c r="C102" s="6" t="s">
        <v>377</v>
      </c>
      <c r="D102" s="6" t="s">
        <v>228</v>
      </c>
      <c r="E102" s="6"/>
      <c r="F102" s="6" t="s">
        <v>554</v>
      </c>
      <c r="G102" s="6" t="s">
        <v>93</v>
      </c>
      <c r="H102" s="6" t="s">
        <v>93</v>
      </c>
      <c r="I102" s="6" t="str">
        <f t="shared" si="3"/>
        <v>A</v>
      </c>
      <c r="J102" s="6">
        <v>1</v>
      </c>
      <c r="K102" s="6"/>
    </row>
    <row r="103" spans="1:11" ht="15" customHeight="1" x14ac:dyDescent="0.35">
      <c r="A103" s="6">
        <v>102</v>
      </c>
      <c r="B103" s="6" t="s">
        <v>131</v>
      </c>
      <c r="C103" s="6" t="s">
        <v>555</v>
      </c>
      <c r="D103" s="6" t="s">
        <v>556</v>
      </c>
      <c r="E103" s="6"/>
      <c r="F103" s="6" t="s">
        <v>554</v>
      </c>
      <c r="G103" s="6" t="s">
        <v>367</v>
      </c>
      <c r="H103" s="6" t="s">
        <v>367</v>
      </c>
      <c r="I103" s="6" t="str">
        <f t="shared" si="3"/>
        <v>B</v>
      </c>
      <c r="J103" s="6">
        <v>0</v>
      </c>
      <c r="K103" s="6"/>
    </row>
    <row r="104" spans="1:11" ht="15" customHeight="1" x14ac:dyDescent="0.35">
      <c r="A104" s="6">
        <v>103</v>
      </c>
      <c r="B104" s="6" t="s">
        <v>131</v>
      </c>
      <c r="C104" s="6" t="s">
        <v>557</v>
      </c>
      <c r="D104" s="6" t="s">
        <v>228</v>
      </c>
      <c r="E104" s="6"/>
      <c r="F104" s="6" t="s">
        <v>554</v>
      </c>
      <c r="G104" s="6" t="s">
        <v>93</v>
      </c>
      <c r="H104" s="6" t="s">
        <v>93</v>
      </c>
      <c r="I104" s="6" t="str">
        <f t="shared" si="3"/>
        <v>A</v>
      </c>
      <c r="J104" s="6">
        <v>1</v>
      </c>
      <c r="K104" s="6"/>
    </row>
    <row r="105" spans="1:11" ht="15" customHeight="1" x14ac:dyDescent="0.35">
      <c r="A105" s="6">
        <v>104</v>
      </c>
      <c r="B105" s="6" t="s">
        <v>131</v>
      </c>
      <c r="C105" s="6" t="s">
        <v>558</v>
      </c>
      <c r="D105" s="6" t="s">
        <v>556</v>
      </c>
      <c r="E105" s="6"/>
      <c r="F105" s="6" t="s">
        <v>554</v>
      </c>
      <c r="G105" s="6" t="s">
        <v>367</v>
      </c>
      <c r="H105" s="6" t="s">
        <v>367</v>
      </c>
      <c r="I105" s="6" t="str">
        <f t="shared" si="3"/>
        <v>B</v>
      </c>
      <c r="J105" s="6">
        <v>0</v>
      </c>
      <c r="K105" s="6"/>
    </row>
    <row r="106" spans="1:11" ht="15" customHeight="1" x14ac:dyDescent="0.35">
      <c r="A106" s="6">
        <v>105</v>
      </c>
      <c r="B106" s="6" t="s">
        <v>131</v>
      </c>
      <c r="C106" s="6" t="s">
        <v>559</v>
      </c>
      <c r="D106" s="6" t="s">
        <v>556</v>
      </c>
      <c r="E106" s="6"/>
      <c r="F106" s="6" t="s">
        <v>554</v>
      </c>
      <c r="G106" s="6" t="s">
        <v>367</v>
      </c>
      <c r="H106" s="6" t="s">
        <v>367</v>
      </c>
      <c r="I106" s="6" t="str">
        <f t="shared" si="3"/>
        <v>B</v>
      </c>
      <c r="J106" s="6">
        <v>0</v>
      </c>
      <c r="K106" s="6"/>
    </row>
    <row r="107" spans="1:11" ht="15" customHeight="1" x14ac:dyDescent="0.35">
      <c r="A107" s="6">
        <v>106</v>
      </c>
      <c r="B107" s="6" t="s">
        <v>131</v>
      </c>
      <c r="C107" s="6" t="s">
        <v>560</v>
      </c>
      <c r="D107" s="6" t="s">
        <v>556</v>
      </c>
      <c r="E107" s="6"/>
      <c r="F107" s="6" t="s">
        <v>554</v>
      </c>
      <c r="G107" s="6" t="s">
        <v>367</v>
      </c>
      <c r="H107" s="6" t="s">
        <v>367</v>
      </c>
      <c r="I107" s="6" t="str">
        <f t="shared" si="3"/>
        <v>B</v>
      </c>
      <c r="J107" s="6">
        <v>0</v>
      </c>
      <c r="K107" s="6"/>
    </row>
    <row r="108" spans="1:11" ht="15" customHeight="1" x14ac:dyDescent="0.35">
      <c r="A108" s="6">
        <v>107</v>
      </c>
      <c r="B108" s="6" t="s">
        <v>131</v>
      </c>
      <c r="C108" s="6" t="s">
        <v>561</v>
      </c>
      <c r="D108" s="6" t="s">
        <v>556</v>
      </c>
      <c r="E108" s="6"/>
      <c r="F108" s="6" t="s">
        <v>554</v>
      </c>
      <c r="G108" s="6" t="s">
        <v>367</v>
      </c>
      <c r="H108" s="6" t="s">
        <v>367</v>
      </c>
      <c r="I108" s="6" t="str">
        <f t="shared" si="3"/>
        <v>B</v>
      </c>
      <c r="J108" s="6">
        <v>0</v>
      </c>
      <c r="K108" s="6"/>
    </row>
    <row r="109" spans="1:11" ht="15" customHeight="1" x14ac:dyDescent="0.35">
      <c r="A109" s="6">
        <v>108</v>
      </c>
      <c r="B109" s="6" t="s">
        <v>131</v>
      </c>
      <c r="C109" s="6" t="s">
        <v>562</v>
      </c>
      <c r="D109" s="6" t="s">
        <v>556</v>
      </c>
      <c r="E109" s="6"/>
      <c r="F109" s="6" t="s">
        <v>554</v>
      </c>
      <c r="G109" s="6" t="s">
        <v>367</v>
      </c>
      <c r="H109" s="6" t="s">
        <v>367</v>
      </c>
      <c r="I109" s="6" t="str">
        <f t="shared" si="3"/>
        <v>B</v>
      </c>
      <c r="J109" s="6">
        <v>0</v>
      </c>
      <c r="K109" s="6"/>
    </row>
    <row r="110" spans="1:11" ht="15" customHeight="1" x14ac:dyDescent="0.35">
      <c r="A110" s="6">
        <v>109</v>
      </c>
      <c r="B110" s="6" t="s">
        <v>131</v>
      </c>
      <c r="C110" s="6" t="s">
        <v>563</v>
      </c>
      <c r="D110" s="6" t="s">
        <v>556</v>
      </c>
      <c r="E110" s="6"/>
      <c r="F110" s="6" t="s">
        <v>554</v>
      </c>
      <c r="G110" s="6" t="s">
        <v>367</v>
      </c>
      <c r="H110" s="6" t="s">
        <v>367</v>
      </c>
      <c r="I110" s="6" t="str">
        <f t="shared" si="3"/>
        <v>B</v>
      </c>
      <c r="J110" s="6">
        <v>0</v>
      </c>
      <c r="K110" s="6"/>
    </row>
    <row r="111" spans="1:11" ht="15" customHeight="1" x14ac:dyDescent="0.35">
      <c r="A111" s="6">
        <v>110</v>
      </c>
      <c r="B111" s="6" t="s">
        <v>131</v>
      </c>
      <c r="C111" s="6" t="s">
        <v>564</v>
      </c>
      <c r="D111" s="6" t="s">
        <v>565</v>
      </c>
      <c r="E111" s="6" t="s">
        <v>566</v>
      </c>
      <c r="F111" s="6" t="s">
        <v>567</v>
      </c>
      <c r="G111" s="6" t="s">
        <v>425</v>
      </c>
      <c r="H111" s="6" t="s">
        <v>425</v>
      </c>
      <c r="I111" s="6" t="str">
        <f t="shared" si="3"/>
        <v>D</v>
      </c>
      <c r="J111" s="6">
        <v>0</v>
      </c>
      <c r="K111" s="6"/>
    </row>
    <row r="112" spans="1:11" ht="15" customHeight="1" x14ac:dyDescent="0.35">
      <c r="A112" s="6">
        <v>111</v>
      </c>
      <c r="B112" s="6" t="s">
        <v>137</v>
      </c>
      <c r="C112" s="6" t="s">
        <v>377</v>
      </c>
      <c r="D112" s="6" t="s">
        <v>228</v>
      </c>
      <c r="E112" s="6"/>
      <c r="F112" s="6" t="s">
        <v>554</v>
      </c>
      <c r="G112" s="6" t="s">
        <v>93</v>
      </c>
      <c r="H112" s="6" t="s">
        <v>93</v>
      </c>
      <c r="I112" s="6" t="str">
        <f t="shared" si="3"/>
        <v>A</v>
      </c>
      <c r="J112" s="6">
        <v>1</v>
      </c>
      <c r="K112" s="6"/>
    </row>
    <row r="113" spans="1:11" ht="15" customHeight="1" x14ac:dyDescent="0.35">
      <c r="A113" s="6">
        <v>112</v>
      </c>
      <c r="B113" s="6" t="s">
        <v>137</v>
      </c>
      <c r="C113" s="6" t="s">
        <v>555</v>
      </c>
      <c r="D113" s="6" t="s">
        <v>556</v>
      </c>
      <c r="E113" s="6"/>
      <c r="F113" s="6" t="s">
        <v>554</v>
      </c>
      <c r="G113" s="6" t="s">
        <v>367</v>
      </c>
      <c r="H113" s="6" t="s">
        <v>367</v>
      </c>
      <c r="I113" s="6" t="str">
        <f t="shared" si="3"/>
        <v>B</v>
      </c>
      <c r="J113" s="6">
        <v>0</v>
      </c>
      <c r="K113" s="6"/>
    </row>
    <row r="114" spans="1:11" ht="15" customHeight="1" x14ac:dyDescent="0.35">
      <c r="A114" s="6">
        <v>113</v>
      </c>
      <c r="B114" s="6" t="s">
        <v>137</v>
      </c>
      <c r="C114" s="6" t="s">
        <v>557</v>
      </c>
      <c r="D114" s="6" t="s">
        <v>556</v>
      </c>
      <c r="E114" s="6"/>
      <c r="F114" s="6" t="s">
        <v>554</v>
      </c>
      <c r="G114" s="6" t="s">
        <v>367</v>
      </c>
      <c r="H114" s="6" t="s">
        <v>367</v>
      </c>
      <c r="I114" s="6" t="str">
        <f t="shared" si="3"/>
        <v>B</v>
      </c>
      <c r="J114" s="6">
        <v>0</v>
      </c>
      <c r="K114" s="6"/>
    </row>
    <row r="115" spans="1:11" ht="15" customHeight="1" x14ac:dyDescent="0.35">
      <c r="A115" s="6">
        <v>114</v>
      </c>
      <c r="B115" s="6" t="s">
        <v>137</v>
      </c>
      <c r="C115" s="6" t="s">
        <v>558</v>
      </c>
      <c r="D115" s="6" t="s">
        <v>556</v>
      </c>
      <c r="E115" s="6"/>
      <c r="F115" s="6" t="s">
        <v>554</v>
      </c>
      <c r="G115" s="6" t="s">
        <v>367</v>
      </c>
      <c r="H115" s="6" t="s">
        <v>367</v>
      </c>
      <c r="I115" s="6" t="str">
        <f t="shared" si="3"/>
        <v>B</v>
      </c>
      <c r="J115" s="6">
        <v>0</v>
      </c>
      <c r="K115" s="6"/>
    </row>
    <row r="116" spans="1:11" ht="15" customHeight="1" x14ac:dyDescent="0.35">
      <c r="A116" s="6">
        <v>115</v>
      </c>
      <c r="B116" s="6" t="s">
        <v>137</v>
      </c>
      <c r="C116" s="6" t="s">
        <v>559</v>
      </c>
      <c r="D116" s="6" t="s">
        <v>556</v>
      </c>
      <c r="E116" s="6"/>
      <c r="F116" s="6" t="s">
        <v>554</v>
      </c>
      <c r="G116" s="6" t="s">
        <v>367</v>
      </c>
      <c r="H116" s="6" t="s">
        <v>367</v>
      </c>
      <c r="I116" s="6" t="str">
        <f t="shared" si="3"/>
        <v>B</v>
      </c>
      <c r="J116" s="6">
        <v>0</v>
      </c>
      <c r="K116" s="6"/>
    </row>
    <row r="117" spans="1:11" ht="15" customHeight="1" x14ac:dyDescent="0.35">
      <c r="A117" s="6">
        <v>116</v>
      </c>
      <c r="B117" s="6" t="s">
        <v>137</v>
      </c>
      <c r="C117" s="6" t="s">
        <v>560</v>
      </c>
      <c r="D117" s="6" t="s">
        <v>556</v>
      </c>
      <c r="E117" s="6"/>
      <c r="F117" s="6" t="s">
        <v>554</v>
      </c>
      <c r="G117" s="6" t="s">
        <v>367</v>
      </c>
      <c r="H117" s="6" t="s">
        <v>367</v>
      </c>
      <c r="I117" s="6" t="str">
        <f t="shared" si="3"/>
        <v>B</v>
      </c>
      <c r="J117" s="6">
        <v>0</v>
      </c>
      <c r="K117" s="6"/>
    </row>
    <row r="118" spans="1:11" ht="15" customHeight="1" x14ac:dyDescent="0.35">
      <c r="A118" s="6">
        <v>117</v>
      </c>
      <c r="B118" s="6" t="s">
        <v>137</v>
      </c>
      <c r="C118" s="6" t="s">
        <v>561</v>
      </c>
      <c r="D118" s="6" t="s">
        <v>556</v>
      </c>
      <c r="E118" s="6"/>
      <c r="F118" s="6" t="s">
        <v>554</v>
      </c>
      <c r="G118" s="6" t="s">
        <v>367</v>
      </c>
      <c r="H118" s="6" t="s">
        <v>367</v>
      </c>
      <c r="I118" s="6" t="str">
        <f t="shared" si="3"/>
        <v>B</v>
      </c>
      <c r="J118" s="6">
        <v>0</v>
      </c>
      <c r="K118" s="6"/>
    </row>
    <row r="119" spans="1:11" ht="15" customHeight="1" x14ac:dyDescent="0.35">
      <c r="A119" s="6">
        <v>118</v>
      </c>
      <c r="B119" s="6" t="s">
        <v>137</v>
      </c>
      <c r="C119" s="6" t="s">
        <v>562</v>
      </c>
      <c r="D119" s="6" t="s">
        <v>556</v>
      </c>
      <c r="E119" s="6"/>
      <c r="F119" s="6" t="s">
        <v>554</v>
      </c>
      <c r="G119" s="6" t="s">
        <v>367</v>
      </c>
      <c r="H119" s="6" t="s">
        <v>367</v>
      </c>
      <c r="I119" s="6" t="str">
        <f t="shared" si="3"/>
        <v>B</v>
      </c>
      <c r="J119" s="6">
        <v>0</v>
      </c>
      <c r="K119" s="6"/>
    </row>
    <row r="120" spans="1:11" ht="15" customHeight="1" x14ac:dyDescent="0.35">
      <c r="A120" s="6">
        <v>119</v>
      </c>
      <c r="B120" s="6" t="s">
        <v>137</v>
      </c>
      <c r="C120" s="6" t="s">
        <v>563</v>
      </c>
      <c r="D120" s="6" t="s">
        <v>228</v>
      </c>
      <c r="E120" s="6"/>
      <c r="F120" s="6" t="s">
        <v>554</v>
      </c>
      <c r="G120" s="6" t="s">
        <v>93</v>
      </c>
      <c r="H120" s="6" t="s">
        <v>93</v>
      </c>
      <c r="I120" s="6" t="str">
        <f t="shared" si="3"/>
        <v>A</v>
      </c>
      <c r="J120" s="6">
        <v>1</v>
      </c>
      <c r="K120" s="6"/>
    </row>
    <row r="121" spans="1:11" ht="15" customHeight="1" x14ac:dyDescent="0.35">
      <c r="A121" s="6">
        <v>120</v>
      </c>
      <c r="B121" s="6" t="s">
        <v>137</v>
      </c>
      <c r="C121" s="6" t="s">
        <v>564</v>
      </c>
      <c r="D121" s="6" t="s">
        <v>565</v>
      </c>
      <c r="E121" s="6" t="s">
        <v>566</v>
      </c>
      <c r="F121" s="6" t="s">
        <v>567</v>
      </c>
      <c r="G121" s="6" t="s">
        <v>425</v>
      </c>
      <c r="H121" s="6" t="s">
        <v>425</v>
      </c>
      <c r="I121" s="6" t="str">
        <f t="shared" si="3"/>
        <v>D</v>
      </c>
      <c r="J121" s="6">
        <v>0</v>
      </c>
      <c r="K121" s="6"/>
    </row>
    <row r="122" spans="1:11" ht="15" customHeight="1" x14ac:dyDescent="0.35">
      <c r="A122" s="6">
        <v>121</v>
      </c>
      <c r="B122" s="6" t="s">
        <v>144</v>
      </c>
      <c r="C122" s="6" t="s">
        <v>377</v>
      </c>
      <c r="D122" s="6" t="s">
        <v>556</v>
      </c>
      <c r="E122" s="6"/>
      <c r="F122" s="6" t="s">
        <v>554</v>
      </c>
      <c r="G122" s="6" t="s">
        <v>367</v>
      </c>
      <c r="H122" s="6" t="s">
        <v>367</v>
      </c>
      <c r="I122" s="6" t="str">
        <f t="shared" si="3"/>
        <v>B</v>
      </c>
      <c r="J122" s="6">
        <v>0</v>
      </c>
      <c r="K122" s="6"/>
    </row>
    <row r="123" spans="1:11" ht="15" customHeight="1" x14ac:dyDescent="0.35">
      <c r="A123" s="6">
        <v>122</v>
      </c>
      <c r="B123" s="6" t="s">
        <v>144</v>
      </c>
      <c r="C123" s="6" t="s">
        <v>555</v>
      </c>
      <c r="D123" s="6" t="s">
        <v>556</v>
      </c>
      <c r="E123" s="6"/>
      <c r="F123" s="6" t="s">
        <v>554</v>
      </c>
      <c r="G123" s="6" t="s">
        <v>367</v>
      </c>
      <c r="H123" s="6" t="s">
        <v>367</v>
      </c>
      <c r="I123" s="6" t="str">
        <f t="shared" si="3"/>
        <v>B</v>
      </c>
      <c r="J123" s="6">
        <v>0</v>
      </c>
      <c r="K123" s="6"/>
    </row>
    <row r="124" spans="1:11" ht="15" customHeight="1" x14ac:dyDescent="0.35">
      <c r="A124" s="6">
        <v>123</v>
      </c>
      <c r="B124" s="6" t="s">
        <v>144</v>
      </c>
      <c r="C124" s="6" t="s">
        <v>557</v>
      </c>
      <c r="D124" s="6" t="s">
        <v>556</v>
      </c>
      <c r="E124" s="6"/>
      <c r="F124" s="6" t="s">
        <v>554</v>
      </c>
      <c r="G124" s="6" t="s">
        <v>367</v>
      </c>
      <c r="H124" s="6" t="s">
        <v>367</v>
      </c>
      <c r="I124" s="6" t="str">
        <f t="shared" si="3"/>
        <v>B</v>
      </c>
      <c r="J124" s="6">
        <v>0</v>
      </c>
      <c r="K124" s="6"/>
    </row>
    <row r="125" spans="1:11" ht="15" customHeight="1" x14ac:dyDescent="0.35">
      <c r="A125" s="6">
        <v>124</v>
      </c>
      <c r="B125" s="6" t="s">
        <v>144</v>
      </c>
      <c r="C125" s="6" t="s">
        <v>558</v>
      </c>
      <c r="D125" s="6" t="s">
        <v>556</v>
      </c>
      <c r="E125" s="6"/>
      <c r="F125" s="6" t="s">
        <v>554</v>
      </c>
      <c r="G125" s="6" t="s">
        <v>367</v>
      </c>
      <c r="H125" s="6" t="s">
        <v>367</v>
      </c>
      <c r="I125" s="6" t="str">
        <f t="shared" si="3"/>
        <v>B</v>
      </c>
      <c r="J125" s="6">
        <v>0</v>
      </c>
      <c r="K125" s="6"/>
    </row>
    <row r="126" spans="1:11" ht="15" customHeight="1" x14ac:dyDescent="0.35">
      <c r="A126" s="6">
        <v>125</v>
      </c>
      <c r="B126" s="6" t="s">
        <v>144</v>
      </c>
      <c r="C126" s="6" t="s">
        <v>559</v>
      </c>
      <c r="D126" s="6" t="s">
        <v>228</v>
      </c>
      <c r="E126" s="6"/>
      <c r="F126" s="6" t="s">
        <v>554</v>
      </c>
      <c r="G126" s="6" t="s">
        <v>93</v>
      </c>
      <c r="H126" s="6" t="s">
        <v>93</v>
      </c>
      <c r="I126" s="6" t="str">
        <f t="shared" si="3"/>
        <v>A</v>
      </c>
      <c r="J126" s="6">
        <v>1</v>
      </c>
      <c r="K126" s="6"/>
    </row>
    <row r="127" spans="1:11" ht="15" customHeight="1" x14ac:dyDescent="0.35">
      <c r="A127" s="6">
        <v>126</v>
      </c>
      <c r="B127" s="6" t="s">
        <v>144</v>
      </c>
      <c r="C127" s="6" t="s">
        <v>560</v>
      </c>
      <c r="D127" s="6" t="s">
        <v>556</v>
      </c>
      <c r="E127" s="6"/>
      <c r="F127" s="6" t="s">
        <v>554</v>
      </c>
      <c r="G127" s="6" t="s">
        <v>367</v>
      </c>
      <c r="H127" s="6" t="s">
        <v>367</v>
      </c>
      <c r="I127" s="6" t="str">
        <f t="shared" si="3"/>
        <v>B</v>
      </c>
      <c r="J127" s="6">
        <v>0</v>
      </c>
      <c r="K127" s="6"/>
    </row>
    <row r="128" spans="1:11" ht="15" customHeight="1" x14ac:dyDescent="0.35">
      <c r="A128" s="6">
        <v>127</v>
      </c>
      <c r="B128" s="6" t="s">
        <v>144</v>
      </c>
      <c r="C128" s="6" t="s">
        <v>561</v>
      </c>
      <c r="D128" s="6" t="s">
        <v>228</v>
      </c>
      <c r="E128" s="6"/>
      <c r="F128" s="6" t="s">
        <v>554</v>
      </c>
      <c r="G128" s="6" t="s">
        <v>93</v>
      </c>
      <c r="H128" s="6" t="s">
        <v>93</v>
      </c>
      <c r="I128" s="6" t="str">
        <f t="shared" si="3"/>
        <v>A</v>
      </c>
      <c r="J128" s="6">
        <v>1</v>
      </c>
      <c r="K128" s="6"/>
    </row>
    <row r="129" spans="1:11" ht="15" customHeight="1" x14ac:dyDescent="0.35">
      <c r="A129" s="6">
        <v>128</v>
      </c>
      <c r="B129" s="6" t="s">
        <v>144</v>
      </c>
      <c r="C129" s="6" t="s">
        <v>562</v>
      </c>
      <c r="D129" s="6" t="s">
        <v>556</v>
      </c>
      <c r="E129" s="6"/>
      <c r="F129" s="6" t="s">
        <v>554</v>
      </c>
      <c r="G129" s="6" t="s">
        <v>367</v>
      </c>
      <c r="H129" s="6" t="s">
        <v>367</v>
      </c>
      <c r="I129" s="6" t="str">
        <f t="shared" si="3"/>
        <v>B</v>
      </c>
      <c r="J129" s="6">
        <v>0</v>
      </c>
      <c r="K129" s="6"/>
    </row>
    <row r="130" spans="1:11" ht="15" customHeight="1" x14ac:dyDescent="0.35">
      <c r="A130" s="6">
        <v>129</v>
      </c>
      <c r="B130" s="6" t="s">
        <v>144</v>
      </c>
      <c r="C130" s="6" t="s">
        <v>563</v>
      </c>
      <c r="D130" s="6" t="s">
        <v>556</v>
      </c>
      <c r="E130" s="6"/>
      <c r="F130" s="6" t="s">
        <v>554</v>
      </c>
      <c r="G130" s="6" t="s">
        <v>367</v>
      </c>
      <c r="H130" s="6" t="s">
        <v>367</v>
      </c>
      <c r="I130" s="6" t="str">
        <f t="shared" ref="I130:I161" si="4">IF(OR(G130="",H130=""),"D",IF(OR(G130="D",H130="D"),"D",IF((CODE(G130)+CODE(H130)-130)&lt;=3,"A",IF((CODE(G130)+CODE(H130)-130)=4,"B","C"))))</f>
        <v>B</v>
      </c>
      <c r="J130" s="6">
        <v>0</v>
      </c>
      <c r="K130" s="6"/>
    </row>
    <row r="131" spans="1:11" ht="15" customHeight="1" x14ac:dyDescent="0.35">
      <c r="A131" s="6">
        <v>130</v>
      </c>
      <c r="B131" s="6" t="s">
        <v>144</v>
      </c>
      <c r="C131" s="6" t="s">
        <v>564</v>
      </c>
      <c r="D131" s="6" t="s">
        <v>565</v>
      </c>
      <c r="E131" s="6" t="s">
        <v>566</v>
      </c>
      <c r="F131" s="6" t="s">
        <v>567</v>
      </c>
      <c r="G131" s="6" t="s">
        <v>425</v>
      </c>
      <c r="H131" s="6" t="s">
        <v>425</v>
      </c>
      <c r="I131" s="6" t="str">
        <f t="shared" si="4"/>
        <v>D</v>
      </c>
      <c r="J131" s="6">
        <v>0</v>
      </c>
      <c r="K131" s="6"/>
    </row>
    <row r="132" spans="1:11" ht="15" customHeight="1" x14ac:dyDescent="0.35">
      <c r="A132" s="6">
        <v>131</v>
      </c>
      <c r="B132" s="6" t="s">
        <v>151</v>
      </c>
      <c r="C132" s="6" t="s">
        <v>377</v>
      </c>
      <c r="D132" s="6" t="s">
        <v>556</v>
      </c>
      <c r="E132" s="6"/>
      <c r="F132" s="6" t="s">
        <v>554</v>
      </c>
      <c r="G132" s="6" t="s">
        <v>367</v>
      </c>
      <c r="H132" s="6" t="s">
        <v>367</v>
      </c>
      <c r="I132" s="6" t="str">
        <f t="shared" si="4"/>
        <v>B</v>
      </c>
      <c r="J132" s="6">
        <v>0</v>
      </c>
      <c r="K132" s="6"/>
    </row>
    <row r="133" spans="1:11" ht="15" customHeight="1" x14ac:dyDescent="0.35">
      <c r="A133" s="6">
        <v>132</v>
      </c>
      <c r="B133" s="6" t="s">
        <v>151</v>
      </c>
      <c r="C133" s="6" t="s">
        <v>555</v>
      </c>
      <c r="D133" s="6" t="s">
        <v>228</v>
      </c>
      <c r="E133" s="6"/>
      <c r="F133" s="6" t="s">
        <v>554</v>
      </c>
      <c r="G133" s="6" t="s">
        <v>93</v>
      </c>
      <c r="H133" s="6" t="s">
        <v>93</v>
      </c>
      <c r="I133" s="6" t="str">
        <f t="shared" si="4"/>
        <v>A</v>
      </c>
      <c r="J133" s="6">
        <v>1</v>
      </c>
      <c r="K133" s="6"/>
    </row>
    <row r="134" spans="1:11" ht="15" customHeight="1" x14ac:dyDescent="0.35">
      <c r="A134" s="6">
        <v>133</v>
      </c>
      <c r="B134" s="6" t="s">
        <v>151</v>
      </c>
      <c r="C134" s="6" t="s">
        <v>557</v>
      </c>
      <c r="D134" s="6" t="s">
        <v>228</v>
      </c>
      <c r="E134" s="6"/>
      <c r="F134" s="6" t="s">
        <v>554</v>
      </c>
      <c r="G134" s="6" t="s">
        <v>93</v>
      </c>
      <c r="H134" s="6" t="s">
        <v>93</v>
      </c>
      <c r="I134" s="6" t="str">
        <f t="shared" si="4"/>
        <v>A</v>
      </c>
      <c r="J134" s="6">
        <v>1</v>
      </c>
      <c r="K134" s="6"/>
    </row>
    <row r="135" spans="1:11" ht="15" customHeight="1" x14ac:dyDescent="0.35">
      <c r="A135" s="6">
        <v>134</v>
      </c>
      <c r="B135" s="6" t="s">
        <v>151</v>
      </c>
      <c r="C135" s="6" t="s">
        <v>558</v>
      </c>
      <c r="D135" s="6" t="s">
        <v>556</v>
      </c>
      <c r="E135" s="6"/>
      <c r="F135" s="6" t="s">
        <v>554</v>
      </c>
      <c r="G135" s="6" t="s">
        <v>367</v>
      </c>
      <c r="H135" s="6" t="s">
        <v>367</v>
      </c>
      <c r="I135" s="6" t="str">
        <f t="shared" si="4"/>
        <v>B</v>
      </c>
      <c r="J135" s="6">
        <v>0</v>
      </c>
      <c r="K135" s="6"/>
    </row>
    <row r="136" spans="1:11" ht="15" customHeight="1" x14ac:dyDescent="0.35">
      <c r="A136" s="6">
        <v>135</v>
      </c>
      <c r="B136" s="6" t="s">
        <v>151</v>
      </c>
      <c r="C136" s="6" t="s">
        <v>559</v>
      </c>
      <c r="D136" s="6" t="s">
        <v>556</v>
      </c>
      <c r="E136" s="6"/>
      <c r="F136" s="6" t="s">
        <v>554</v>
      </c>
      <c r="G136" s="6" t="s">
        <v>367</v>
      </c>
      <c r="H136" s="6" t="s">
        <v>367</v>
      </c>
      <c r="I136" s="6" t="str">
        <f t="shared" si="4"/>
        <v>B</v>
      </c>
      <c r="J136" s="6">
        <v>0</v>
      </c>
      <c r="K136" s="6"/>
    </row>
    <row r="137" spans="1:11" ht="15" customHeight="1" x14ac:dyDescent="0.35">
      <c r="A137" s="6">
        <v>136</v>
      </c>
      <c r="B137" s="6" t="s">
        <v>151</v>
      </c>
      <c r="C137" s="6" t="s">
        <v>560</v>
      </c>
      <c r="D137" s="6" t="s">
        <v>556</v>
      </c>
      <c r="E137" s="6"/>
      <c r="F137" s="6" t="s">
        <v>554</v>
      </c>
      <c r="G137" s="6" t="s">
        <v>367</v>
      </c>
      <c r="H137" s="6" t="s">
        <v>367</v>
      </c>
      <c r="I137" s="6" t="str">
        <f t="shared" si="4"/>
        <v>B</v>
      </c>
      <c r="J137" s="6">
        <v>0</v>
      </c>
      <c r="K137" s="6"/>
    </row>
    <row r="138" spans="1:11" ht="15" customHeight="1" x14ac:dyDescent="0.35">
      <c r="A138" s="6">
        <v>137</v>
      </c>
      <c r="B138" s="6" t="s">
        <v>151</v>
      </c>
      <c r="C138" s="6" t="s">
        <v>561</v>
      </c>
      <c r="D138" s="6" t="s">
        <v>556</v>
      </c>
      <c r="E138" s="6"/>
      <c r="F138" s="6" t="s">
        <v>554</v>
      </c>
      <c r="G138" s="6" t="s">
        <v>367</v>
      </c>
      <c r="H138" s="6" t="s">
        <v>367</v>
      </c>
      <c r="I138" s="6" t="str">
        <f t="shared" si="4"/>
        <v>B</v>
      </c>
      <c r="J138" s="6">
        <v>0</v>
      </c>
      <c r="K138" s="6"/>
    </row>
    <row r="139" spans="1:11" ht="15" customHeight="1" x14ac:dyDescent="0.35">
      <c r="A139" s="6">
        <v>138</v>
      </c>
      <c r="B139" s="6" t="s">
        <v>151</v>
      </c>
      <c r="C139" s="6" t="s">
        <v>562</v>
      </c>
      <c r="D139" s="6" t="s">
        <v>556</v>
      </c>
      <c r="E139" s="6"/>
      <c r="F139" s="6" t="s">
        <v>554</v>
      </c>
      <c r="G139" s="6" t="s">
        <v>367</v>
      </c>
      <c r="H139" s="6" t="s">
        <v>367</v>
      </c>
      <c r="I139" s="6" t="str">
        <f t="shared" si="4"/>
        <v>B</v>
      </c>
      <c r="J139" s="6">
        <v>0</v>
      </c>
      <c r="K139" s="6"/>
    </row>
    <row r="140" spans="1:11" ht="15" customHeight="1" x14ac:dyDescent="0.35">
      <c r="A140" s="6">
        <v>139</v>
      </c>
      <c r="B140" s="6" t="s">
        <v>151</v>
      </c>
      <c r="C140" s="6" t="s">
        <v>563</v>
      </c>
      <c r="D140" s="6" t="s">
        <v>228</v>
      </c>
      <c r="E140" s="6"/>
      <c r="F140" s="6" t="s">
        <v>554</v>
      </c>
      <c r="G140" s="6" t="s">
        <v>93</v>
      </c>
      <c r="H140" s="6" t="s">
        <v>93</v>
      </c>
      <c r="I140" s="6" t="str">
        <f t="shared" si="4"/>
        <v>A</v>
      </c>
      <c r="J140" s="6">
        <v>1</v>
      </c>
      <c r="K140" s="6"/>
    </row>
    <row r="141" spans="1:11" ht="15" customHeight="1" x14ac:dyDescent="0.35">
      <c r="A141" s="6">
        <v>140</v>
      </c>
      <c r="B141" s="6" t="s">
        <v>151</v>
      </c>
      <c r="C141" s="6" t="s">
        <v>564</v>
      </c>
      <c r="D141" s="6" t="s">
        <v>565</v>
      </c>
      <c r="E141" s="6" t="s">
        <v>566</v>
      </c>
      <c r="F141" s="6" t="s">
        <v>567</v>
      </c>
      <c r="G141" s="6" t="s">
        <v>425</v>
      </c>
      <c r="H141" s="6" t="s">
        <v>425</v>
      </c>
      <c r="I141" s="6" t="str">
        <f t="shared" si="4"/>
        <v>D</v>
      </c>
      <c r="J141" s="6">
        <v>0</v>
      </c>
      <c r="K141" s="6"/>
    </row>
    <row r="142" spans="1:11" ht="15" customHeight="1" x14ac:dyDescent="0.35">
      <c r="A142" s="6">
        <v>141</v>
      </c>
      <c r="B142" s="6" t="s">
        <v>158</v>
      </c>
      <c r="C142" s="6" t="s">
        <v>377</v>
      </c>
      <c r="D142" s="6" t="s">
        <v>228</v>
      </c>
      <c r="E142" s="6"/>
      <c r="F142" s="6" t="s">
        <v>554</v>
      </c>
      <c r="G142" s="6" t="s">
        <v>93</v>
      </c>
      <c r="H142" s="6" t="s">
        <v>93</v>
      </c>
      <c r="I142" s="6" t="str">
        <f t="shared" si="4"/>
        <v>A</v>
      </c>
      <c r="J142" s="6">
        <v>1</v>
      </c>
      <c r="K142" s="6"/>
    </row>
    <row r="143" spans="1:11" ht="15" customHeight="1" x14ac:dyDescent="0.35">
      <c r="A143" s="6">
        <v>142</v>
      </c>
      <c r="B143" s="6" t="s">
        <v>158</v>
      </c>
      <c r="C143" s="6" t="s">
        <v>555</v>
      </c>
      <c r="D143" s="6" t="s">
        <v>228</v>
      </c>
      <c r="E143" s="6"/>
      <c r="F143" s="6" t="s">
        <v>554</v>
      </c>
      <c r="G143" s="6" t="s">
        <v>93</v>
      </c>
      <c r="H143" s="6" t="s">
        <v>93</v>
      </c>
      <c r="I143" s="6" t="str">
        <f t="shared" si="4"/>
        <v>A</v>
      </c>
      <c r="J143" s="6">
        <v>1</v>
      </c>
      <c r="K143" s="6"/>
    </row>
    <row r="144" spans="1:11" ht="15" customHeight="1" x14ac:dyDescent="0.35">
      <c r="A144" s="6">
        <v>143</v>
      </c>
      <c r="B144" s="6" t="s">
        <v>158</v>
      </c>
      <c r="C144" s="6" t="s">
        <v>557</v>
      </c>
      <c r="D144" s="6" t="s">
        <v>556</v>
      </c>
      <c r="E144" s="6"/>
      <c r="F144" s="6" t="s">
        <v>554</v>
      </c>
      <c r="G144" s="6" t="s">
        <v>367</v>
      </c>
      <c r="H144" s="6" t="s">
        <v>367</v>
      </c>
      <c r="I144" s="6" t="str">
        <f t="shared" si="4"/>
        <v>B</v>
      </c>
      <c r="J144" s="6">
        <v>0</v>
      </c>
      <c r="K144" s="6"/>
    </row>
    <row r="145" spans="1:11" ht="15" customHeight="1" x14ac:dyDescent="0.35">
      <c r="A145" s="6">
        <v>144</v>
      </c>
      <c r="B145" s="6" t="s">
        <v>158</v>
      </c>
      <c r="C145" s="6" t="s">
        <v>558</v>
      </c>
      <c r="D145" s="6" t="s">
        <v>556</v>
      </c>
      <c r="E145" s="6"/>
      <c r="F145" s="6" t="s">
        <v>554</v>
      </c>
      <c r="G145" s="6" t="s">
        <v>367</v>
      </c>
      <c r="H145" s="6" t="s">
        <v>367</v>
      </c>
      <c r="I145" s="6" t="str">
        <f t="shared" si="4"/>
        <v>B</v>
      </c>
      <c r="J145" s="6">
        <v>0</v>
      </c>
      <c r="K145" s="6"/>
    </row>
    <row r="146" spans="1:11" ht="15" customHeight="1" x14ac:dyDescent="0.35">
      <c r="A146" s="6">
        <v>145</v>
      </c>
      <c r="B146" s="6" t="s">
        <v>158</v>
      </c>
      <c r="C146" s="6" t="s">
        <v>559</v>
      </c>
      <c r="D146" s="6" t="s">
        <v>556</v>
      </c>
      <c r="E146" s="6"/>
      <c r="F146" s="6" t="s">
        <v>554</v>
      </c>
      <c r="G146" s="6" t="s">
        <v>367</v>
      </c>
      <c r="H146" s="6" t="s">
        <v>367</v>
      </c>
      <c r="I146" s="6" t="str">
        <f t="shared" si="4"/>
        <v>B</v>
      </c>
      <c r="J146" s="6">
        <v>0</v>
      </c>
      <c r="K146" s="6"/>
    </row>
    <row r="147" spans="1:11" ht="15" customHeight="1" x14ac:dyDescent="0.35">
      <c r="A147" s="6">
        <v>146</v>
      </c>
      <c r="B147" s="6" t="s">
        <v>158</v>
      </c>
      <c r="C147" s="6" t="s">
        <v>560</v>
      </c>
      <c r="D147" s="6" t="s">
        <v>556</v>
      </c>
      <c r="E147" s="6"/>
      <c r="F147" s="6" t="s">
        <v>554</v>
      </c>
      <c r="G147" s="6" t="s">
        <v>367</v>
      </c>
      <c r="H147" s="6" t="s">
        <v>367</v>
      </c>
      <c r="I147" s="6" t="str">
        <f t="shared" si="4"/>
        <v>B</v>
      </c>
      <c r="J147" s="6">
        <v>0</v>
      </c>
      <c r="K147" s="6"/>
    </row>
    <row r="148" spans="1:11" ht="15" customHeight="1" x14ac:dyDescent="0.35">
      <c r="A148" s="6">
        <v>147</v>
      </c>
      <c r="B148" s="6" t="s">
        <v>158</v>
      </c>
      <c r="C148" s="6" t="s">
        <v>561</v>
      </c>
      <c r="D148" s="6" t="s">
        <v>556</v>
      </c>
      <c r="E148" s="6"/>
      <c r="F148" s="6" t="s">
        <v>554</v>
      </c>
      <c r="G148" s="6" t="s">
        <v>367</v>
      </c>
      <c r="H148" s="6" t="s">
        <v>367</v>
      </c>
      <c r="I148" s="6" t="str">
        <f t="shared" si="4"/>
        <v>B</v>
      </c>
      <c r="J148" s="6">
        <v>0</v>
      </c>
      <c r="K148" s="6"/>
    </row>
    <row r="149" spans="1:11" ht="15" customHeight="1" x14ac:dyDescent="0.35">
      <c r="A149" s="6">
        <v>148</v>
      </c>
      <c r="B149" s="6" t="s">
        <v>158</v>
      </c>
      <c r="C149" s="6" t="s">
        <v>562</v>
      </c>
      <c r="D149" s="6" t="s">
        <v>556</v>
      </c>
      <c r="E149" s="6"/>
      <c r="F149" s="6" t="s">
        <v>554</v>
      </c>
      <c r="G149" s="6" t="s">
        <v>367</v>
      </c>
      <c r="H149" s="6" t="s">
        <v>367</v>
      </c>
      <c r="I149" s="6" t="str">
        <f t="shared" si="4"/>
        <v>B</v>
      </c>
      <c r="J149" s="6">
        <v>0</v>
      </c>
      <c r="K149" s="6"/>
    </row>
    <row r="150" spans="1:11" ht="15" customHeight="1" x14ac:dyDescent="0.35">
      <c r="A150" s="6">
        <v>149</v>
      </c>
      <c r="B150" s="6" t="s">
        <v>158</v>
      </c>
      <c r="C150" s="6" t="s">
        <v>563</v>
      </c>
      <c r="D150" s="6" t="s">
        <v>556</v>
      </c>
      <c r="E150" s="6"/>
      <c r="F150" s="6" t="s">
        <v>554</v>
      </c>
      <c r="G150" s="6" t="s">
        <v>367</v>
      </c>
      <c r="H150" s="6" t="s">
        <v>367</v>
      </c>
      <c r="I150" s="6" t="str">
        <f t="shared" si="4"/>
        <v>B</v>
      </c>
      <c r="J150" s="6">
        <v>0</v>
      </c>
      <c r="K150" s="6"/>
    </row>
    <row r="151" spans="1:11" ht="15" customHeight="1" x14ac:dyDescent="0.35">
      <c r="A151" s="6">
        <v>150</v>
      </c>
      <c r="B151" s="6" t="s">
        <v>158</v>
      </c>
      <c r="C151" s="6" t="s">
        <v>564</v>
      </c>
      <c r="D151" s="6" t="s">
        <v>565</v>
      </c>
      <c r="E151" s="6" t="s">
        <v>566</v>
      </c>
      <c r="F151" s="6" t="s">
        <v>567</v>
      </c>
      <c r="G151" s="6" t="s">
        <v>425</v>
      </c>
      <c r="H151" s="6" t="s">
        <v>425</v>
      </c>
      <c r="I151" s="6" t="str">
        <f t="shared" si="4"/>
        <v>D</v>
      </c>
      <c r="J151" s="6">
        <v>0</v>
      </c>
      <c r="K151" s="6"/>
    </row>
    <row r="152" spans="1:11" ht="15" customHeight="1" x14ac:dyDescent="0.35">
      <c r="A152" s="6">
        <v>151</v>
      </c>
      <c r="B152" s="6" t="s">
        <v>164</v>
      </c>
      <c r="C152" s="6" t="s">
        <v>377</v>
      </c>
      <c r="D152" s="6" t="s">
        <v>228</v>
      </c>
      <c r="E152" s="6"/>
      <c r="F152" s="6" t="s">
        <v>554</v>
      </c>
      <c r="G152" s="6" t="s">
        <v>93</v>
      </c>
      <c r="H152" s="6" t="s">
        <v>93</v>
      </c>
      <c r="I152" s="6" t="str">
        <f t="shared" si="4"/>
        <v>A</v>
      </c>
      <c r="J152" s="6">
        <v>1</v>
      </c>
      <c r="K152" s="6"/>
    </row>
    <row r="153" spans="1:11" ht="15" customHeight="1" x14ac:dyDescent="0.35">
      <c r="A153" s="6">
        <v>152</v>
      </c>
      <c r="B153" s="6" t="s">
        <v>164</v>
      </c>
      <c r="C153" s="6" t="s">
        <v>555</v>
      </c>
      <c r="D153" s="6" t="s">
        <v>228</v>
      </c>
      <c r="E153" s="6"/>
      <c r="F153" s="6" t="s">
        <v>554</v>
      </c>
      <c r="G153" s="6" t="s">
        <v>93</v>
      </c>
      <c r="H153" s="6" t="s">
        <v>93</v>
      </c>
      <c r="I153" s="6" t="str">
        <f t="shared" si="4"/>
        <v>A</v>
      </c>
      <c r="J153" s="6">
        <v>1</v>
      </c>
      <c r="K153" s="6"/>
    </row>
    <row r="154" spans="1:11" ht="15" customHeight="1" x14ac:dyDescent="0.35">
      <c r="A154" s="6">
        <v>153</v>
      </c>
      <c r="B154" s="6" t="s">
        <v>164</v>
      </c>
      <c r="C154" s="6" t="s">
        <v>557</v>
      </c>
      <c r="D154" s="6" t="s">
        <v>228</v>
      </c>
      <c r="E154" s="6"/>
      <c r="F154" s="6" t="s">
        <v>554</v>
      </c>
      <c r="G154" s="6" t="s">
        <v>93</v>
      </c>
      <c r="H154" s="6" t="s">
        <v>93</v>
      </c>
      <c r="I154" s="6" t="str">
        <f t="shared" si="4"/>
        <v>A</v>
      </c>
      <c r="J154" s="6">
        <v>1</v>
      </c>
      <c r="K154" s="6"/>
    </row>
    <row r="155" spans="1:11" ht="15" customHeight="1" x14ac:dyDescent="0.35">
      <c r="A155" s="6">
        <v>154</v>
      </c>
      <c r="B155" s="6" t="s">
        <v>164</v>
      </c>
      <c r="C155" s="6" t="s">
        <v>558</v>
      </c>
      <c r="D155" s="6" t="s">
        <v>556</v>
      </c>
      <c r="E155" s="6"/>
      <c r="F155" s="6" t="s">
        <v>554</v>
      </c>
      <c r="G155" s="6" t="s">
        <v>367</v>
      </c>
      <c r="H155" s="6" t="s">
        <v>367</v>
      </c>
      <c r="I155" s="6" t="str">
        <f t="shared" si="4"/>
        <v>B</v>
      </c>
      <c r="J155" s="6">
        <v>0</v>
      </c>
      <c r="K155" s="6"/>
    </row>
    <row r="156" spans="1:11" ht="15" customHeight="1" x14ac:dyDescent="0.35">
      <c r="A156" s="6">
        <v>155</v>
      </c>
      <c r="B156" s="6" t="s">
        <v>164</v>
      </c>
      <c r="C156" s="6" t="s">
        <v>559</v>
      </c>
      <c r="D156" s="6" t="s">
        <v>556</v>
      </c>
      <c r="E156" s="6"/>
      <c r="F156" s="6" t="s">
        <v>554</v>
      </c>
      <c r="G156" s="6" t="s">
        <v>367</v>
      </c>
      <c r="H156" s="6" t="s">
        <v>367</v>
      </c>
      <c r="I156" s="6" t="str">
        <f t="shared" si="4"/>
        <v>B</v>
      </c>
      <c r="J156" s="6">
        <v>0</v>
      </c>
      <c r="K156" s="6"/>
    </row>
    <row r="157" spans="1:11" ht="15" customHeight="1" x14ac:dyDescent="0.35">
      <c r="A157" s="6">
        <v>156</v>
      </c>
      <c r="B157" s="6" t="s">
        <v>164</v>
      </c>
      <c r="C157" s="6" t="s">
        <v>560</v>
      </c>
      <c r="D157" s="6" t="s">
        <v>556</v>
      </c>
      <c r="E157" s="6"/>
      <c r="F157" s="6" t="s">
        <v>554</v>
      </c>
      <c r="G157" s="6" t="s">
        <v>367</v>
      </c>
      <c r="H157" s="6" t="s">
        <v>367</v>
      </c>
      <c r="I157" s="6" t="str">
        <f t="shared" si="4"/>
        <v>B</v>
      </c>
      <c r="J157" s="6">
        <v>0</v>
      </c>
      <c r="K157" s="6"/>
    </row>
    <row r="158" spans="1:11" ht="15" customHeight="1" x14ac:dyDescent="0.35">
      <c r="A158" s="6">
        <v>157</v>
      </c>
      <c r="B158" s="6" t="s">
        <v>164</v>
      </c>
      <c r="C158" s="6" t="s">
        <v>561</v>
      </c>
      <c r="D158" s="6" t="s">
        <v>556</v>
      </c>
      <c r="E158" s="6"/>
      <c r="F158" s="6" t="s">
        <v>554</v>
      </c>
      <c r="G158" s="6" t="s">
        <v>367</v>
      </c>
      <c r="H158" s="6" t="s">
        <v>367</v>
      </c>
      <c r="I158" s="6" t="str">
        <f t="shared" si="4"/>
        <v>B</v>
      </c>
      <c r="J158" s="6">
        <v>0</v>
      </c>
      <c r="K158" s="6"/>
    </row>
    <row r="159" spans="1:11" ht="15" customHeight="1" x14ac:dyDescent="0.35">
      <c r="A159" s="6">
        <v>158</v>
      </c>
      <c r="B159" s="6" t="s">
        <v>164</v>
      </c>
      <c r="C159" s="6" t="s">
        <v>562</v>
      </c>
      <c r="D159" s="6" t="s">
        <v>556</v>
      </c>
      <c r="E159" s="6"/>
      <c r="F159" s="6" t="s">
        <v>554</v>
      </c>
      <c r="G159" s="6" t="s">
        <v>367</v>
      </c>
      <c r="H159" s="6" t="s">
        <v>367</v>
      </c>
      <c r="I159" s="6" t="str">
        <f t="shared" si="4"/>
        <v>B</v>
      </c>
      <c r="J159" s="6">
        <v>0</v>
      </c>
      <c r="K159" s="6"/>
    </row>
    <row r="160" spans="1:11" ht="15" customHeight="1" x14ac:dyDescent="0.35">
      <c r="A160" s="6">
        <v>159</v>
      </c>
      <c r="B160" s="6" t="s">
        <v>164</v>
      </c>
      <c r="C160" s="6" t="s">
        <v>563</v>
      </c>
      <c r="D160" s="6" t="s">
        <v>556</v>
      </c>
      <c r="E160" s="6"/>
      <c r="F160" s="6" t="s">
        <v>554</v>
      </c>
      <c r="G160" s="6" t="s">
        <v>367</v>
      </c>
      <c r="H160" s="6" t="s">
        <v>367</v>
      </c>
      <c r="I160" s="6" t="str">
        <f t="shared" si="4"/>
        <v>B</v>
      </c>
      <c r="J160" s="6">
        <v>0</v>
      </c>
      <c r="K160" s="6"/>
    </row>
    <row r="161" spans="1:11" ht="15" customHeight="1" x14ac:dyDescent="0.35">
      <c r="A161" s="6">
        <v>160</v>
      </c>
      <c r="B161" s="6" t="s">
        <v>164</v>
      </c>
      <c r="C161" s="6" t="s">
        <v>564</v>
      </c>
      <c r="D161" s="6" t="s">
        <v>565</v>
      </c>
      <c r="E161" s="6" t="s">
        <v>566</v>
      </c>
      <c r="F161" s="6" t="s">
        <v>567</v>
      </c>
      <c r="G161" s="6" t="s">
        <v>425</v>
      </c>
      <c r="H161" s="6" t="s">
        <v>425</v>
      </c>
      <c r="I161" s="6" t="str">
        <f t="shared" si="4"/>
        <v>D</v>
      </c>
      <c r="J161" s="6">
        <v>0</v>
      </c>
      <c r="K161" s="6"/>
    </row>
    <row r="162" spans="1:11" ht="15" customHeight="1" x14ac:dyDescent="0.35">
      <c r="A162" s="6">
        <v>161</v>
      </c>
      <c r="B162" s="6" t="s">
        <v>170</v>
      </c>
      <c r="C162" s="6" t="s">
        <v>377</v>
      </c>
      <c r="D162" s="6" t="s">
        <v>228</v>
      </c>
      <c r="E162" s="6"/>
      <c r="F162" s="6" t="s">
        <v>554</v>
      </c>
      <c r="G162" s="6" t="s">
        <v>93</v>
      </c>
      <c r="H162" s="6" t="s">
        <v>93</v>
      </c>
      <c r="I162" s="6" t="str">
        <f t="shared" ref="I162:I193" si="5">IF(OR(G162="",H162=""),"D",IF(OR(G162="D",H162="D"),"D",IF((CODE(G162)+CODE(H162)-130)&lt;=3,"A",IF((CODE(G162)+CODE(H162)-130)=4,"B","C"))))</f>
        <v>A</v>
      </c>
      <c r="J162" s="6">
        <v>1</v>
      </c>
      <c r="K162" s="6"/>
    </row>
    <row r="163" spans="1:11" ht="15" customHeight="1" x14ac:dyDescent="0.35">
      <c r="A163" s="6">
        <v>162</v>
      </c>
      <c r="B163" s="6" t="s">
        <v>170</v>
      </c>
      <c r="C163" s="6" t="s">
        <v>555</v>
      </c>
      <c r="D163" s="6" t="s">
        <v>556</v>
      </c>
      <c r="E163" s="6"/>
      <c r="F163" s="6" t="s">
        <v>554</v>
      </c>
      <c r="G163" s="6" t="s">
        <v>367</v>
      </c>
      <c r="H163" s="6" t="s">
        <v>367</v>
      </c>
      <c r="I163" s="6" t="str">
        <f t="shared" si="5"/>
        <v>B</v>
      </c>
      <c r="J163" s="6">
        <v>0</v>
      </c>
      <c r="K163" s="6"/>
    </row>
    <row r="164" spans="1:11" ht="15" customHeight="1" x14ac:dyDescent="0.35">
      <c r="A164" s="6">
        <v>163</v>
      </c>
      <c r="B164" s="6" t="s">
        <v>170</v>
      </c>
      <c r="C164" s="6" t="s">
        <v>557</v>
      </c>
      <c r="D164" s="6" t="s">
        <v>556</v>
      </c>
      <c r="E164" s="6"/>
      <c r="F164" s="6" t="s">
        <v>554</v>
      </c>
      <c r="G164" s="6" t="s">
        <v>367</v>
      </c>
      <c r="H164" s="6" t="s">
        <v>367</v>
      </c>
      <c r="I164" s="6" t="str">
        <f t="shared" si="5"/>
        <v>B</v>
      </c>
      <c r="J164" s="6">
        <v>0</v>
      </c>
      <c r="K164" s="6"/>
    </row>
    <row r="165" spans="1:11" ht="15" customHeight="1" x14ac:dyDescent="0.35">
      <c r="A165" s="6">
        <v>164</v>
      </c>
      <c r="B165" s="6" t="s">
        <v>170</v>
      </c>
      <c r="C165" s="6" t="s">
        <v>558</v>
      </c>
      <c r="D165" s="6" t="s">
        <v>556</v>
      </c>
      <c r="E165" s="6"/>
      <c r="F165" s="6" t="s">
        <v>554</v>
      </c>
      <c r="G165" s="6" t="s">
        <v>367</v>
      </c>
      <c r="H165" s="6" t="s">
        <v>367</v>
      </c>
      <c r="I165" s="6" t="str">
        <f t="shared" si="5"/>
        <v>B</v>
      </c>
      <c r="J165" s="6">
        <v>0</v>
      </c>
      <c r="K165" s="6"/>
    </row>
    <row r="166" spans="1:11" ht="15" customHeight="1" x14ac:dyDescent="0.35">
      <c r="A166" s="6">
        <v>165</v>
      </c>
      <c r="B166" s="6" t="s">
        <v>170</v>
      </c>
      <c r="C166" s="6" t="s">
        <v>559</v>
      </c>
      <c r="D166" s="6" t="s">
        <v>228</v>
      </c>
      <c r="E166" s="6"/>
      <c r="F166" s="6" t="s">
        <v>554</v>
      </c>
      <c r="G166" s="6" t="s">
        <v>93</v>
      </c>
      <c r="H166" s="6" t="s">
        <v>93</v>
      </c>
      <c r="I166" s="6" t="str">
        <f t="shared" si="5"/>
        <v>A</v>
      </c>
      <c r="J166" s="6">
        <v>1</v>
      </c>
      <c r="K166" s="6"/>
    </row>
    <row r="167" spans="1:11" ht="15" customHeight="1" x14ac:dyDescent="0.35">
      <c r="A167" s="6">
        <v>166</v>
      </c>
      <c r="B167" s="6" t="s">
        <v>170</v>
      </c>
      <c r="C167" s="6" t="s">
        <v>560</v>
      </c>
      <c r="D167" s="6" t="s">
        <v>556</v>
      </c>
      <c r="E167" s="6"/>
      <c r="F167" s="6" t="s">
        <v>554</v>
      </c>
      <c r="G167" s="6" t="s">
        <v>367</v>
      </c>
      <c r="H167" s="6" t="s">
        <v>367</v>
      </c>
      <c r="I167" s="6" t="str">
        <f t="shared" si="5"/>
        <v>B</v>
      </c>
      <c r="J167" s="6">
        <v>0</v>
      </c>
      <c r="K167" s="6"/>
    </row>
    <row r="168" spans="1:11" ht="15" customHeight="1" x14ac:dyDescent="0.35">
      <c r="A168" s="6">
        <v>167</v>
      </c>
      <c r="B168" s="6" t="s">
        <v>170</v>
      </c>
      <c r="C168" s="6" t="s">
        <v>561</v>
      </c>
      <c r="D168" s="6" t="s">
        <v>556</v>
      </c>
      <c r="E168" s="6"/>
      <c r="F168" s="6" t="s">
        <v>554</v>
      </c>
      <c r="G168" s="6" t="s">
        <v>367</v>
      </c>
      <c r="H168" s="6" t="s">
        <v>367</v>
      </c>
      <c r="I168" s="6" t="str">
        <f t="shared" si="5"/>
        <v>B</v>
      </c>
      <c r="J168" s="6">
        <v>0</v>
      </c>
      <c r="K168" s="6"/>
    </row>
    <row r="169" spans="1:11" ht="15" customHeight="1" x14ac:dyDescent="0.35">
      <c r="A169" s="6">
        <v>168</v>
      </c>
      <c r="B169" s="6" t="s">
        <v>170</v>
      </c>
      <c r="C169" s="6" t="s">
        <v>562</v>
      </c>
      <c r="D169" s="6" t="s">
        <v>556</v>
      </c>
      <c r="E169" s="6"/>
      <c r="F169" s="6" t="s">
        <v>554</v>
      </c>
      <c r="G169" s="6" t="s">
        <v>367</v>
      </c>
      <c r="H169" s="6" t="s">
        <v>367</v>
      </c>
      <c r="I169" s="6" t="str">
        <f t="shared" si="5"/>
        <v>B</v>
      </c>
      <c r="J169" s="6">
        <v>0</v>
      </c>
      <c r="K169" s="6"/>
    </row>
    <row r="170" spans="1:11" ht="15" customHeight="1" x14ac:dyDescent="0.35">
      <c r="A170" s="6">
        <v>169</v>
      </c>
      <c r="B170" s="6" t="s">
        <v>170</v>
      </c>
      <c r="C170" s="6" t="s">
        <v>563</v>
      </c>
      <c r="D170" s="6" t="s">
        <v>228</v>
      </c>
      <c r="E170" s="6"/>
      <c r="F170" s="6" t="s">
        <v>554</v>
      </c>
      <c r="G170" s="6" t="s">
        <v>93</v>
      </c>
      <c r="H170" s="6" t="s">
        <v>93</v>
      </c>
      <c r="I170" s="6" t="str">
        <f t="shared" si="5"/>
        <v>A</v>
      </c>
      <c r="J170" s="6">
        <v>1</v>
      </c>
      <c r="K170" s="6"/>
    </row>
    <row r="171" spans="1:11" ht="15" customHeight="1" x14ac:dyDescent="0.35">
      <c r="A171" s="6">
        <v>170</v>
      </c>
      <c r="B171" s="6" t="s">
        <v>170</v>
      </c>
      <c r="C171" s="6" t="s">
        <v>564</v>
      </c>
      <c r="D171" s="6" t="s">
        <v>565</v>
      </c>
      <c r="E171" s="6" t="s">
        <v>566</v>
      </c>
      <c r="F171" s="6" t="s">
        <v>567</v>
      </c>
      <c r="G171" s="6" t="s">
        <v>425</v>
      </c>
      <c r="H171" s="6" t="s">
        <v>425</v>
      </c>
      <c r="I171" s="6" t="str">
        <f t="shared" si="5"/>
        <v>D</v>
      </c>
      <c r="J171" s="6">
        <v>0</v>
      </c>
      <c r="K171" s="6"/>
    </row>
    <row r="172" spans="1:11" ht="15" customHeight="1" x14ac:dyDescent="0.35">
      <c r="A172" s="6">
        <v>171</v>
      </c>
      <c r="B172" s="6" t="s">
        <v>175</v>
      </c>
      <c r="C172" s="6" t="s">
        <v>377</v>
      </c>
      <c r="D172" s="6" t="s">
        <v>556</v>
      </c>
      <c r="E172" s="6"/>
      <c r="F172" s="6" t="s">
        <v>554</v>
      </c>
      <c r="G172" s="6" t="s">
        <v>367</v>
      </c>
      <c r="H172" s="6" t="s">
        <v>367</v>
      </c>
      <c r="I172" s="6" t="str">
        <f t="shared" si="5"/>
        <v>B</v>
      </c>
      <c r="J172" s="6">
        <v>0</v>
      </c>
      <c r="K172" s="6"/>
    </row>
    <row r="173" spans="1:11" ht="15" customHeight="1" x14ac:dyDescent="0.35">
      <c r="A173" s="6">
        <v>172</v>
      </c>
      <c r="B173" s="6" t="s">
        <v>175</v>
      </c>
      <c r="C173" s="6" t="s">
        <v>555</v>
      </c>
      <c r="D173" s="6" t="s">
        <v>228</v>
      </c>
      <c r="E173" s="6"/>
      <c r="F173" s="6" t="s">
        <v>554</v>
      </c>
      <c r="G173" s="6" t="s">
        <v>93</v>
      </c>
      <c r="H173" s="6" t="s">
        <v>93</v>
      </c>
      <c r="I173" s="6" t="str">
        <f t="shared" si="5"/>
        <v>A</v>
      </c>
      <c r="J173" s="6">
        <v>1</v>
      </c>
      <c r="K173" s="6"/>
    </row>
    <row r="174" spans="1:11" ht="15" customHeight="1" x14ac:dyDescent="0.35">
      <c r="A174" s="6">
        <v>173</v>
      </c>
      <c r="B174" s="6" t="s">
        <v>175</v>
      </c>
      <c r="C174" s="6" t="s">
        <v>557</v>
      </c>
      <c r="D174" s="6" t="s">
        <v>556</v>
      </c>
      <c r="E174" s="6"/>
      <c r="F174" s="6" t="s">
        <v>554</v>
      </c>
      <c r="G174" s="6" t="s">
        <v>367</v>
      </c>
      <c r="H174" s="6" t="s">
        <v>367</v>
      </c>
      <c r="I174" s="6" t="str">
        <f t="shared" si="5"/>
        <v>B</v>
      </c>
      <c r="J174" s="6">
        <v>0</v>
      </c>
      <c r="K174" s="6"/>
    </row>
    <row r="175" spans="1:11" ht="15" customHeight="1" x14ac:dyDescent="0.35">
      <c r="A175" s="6">
        <v>174</v>
      </c>
      <c r="B175" s="6" t="s">
        <v>175</v>
      </c>
      <c r="C175" s="6" t="s">
        <v>558</v>
      </c>
      <c r="D175" s="6" t="s">
        <v>556</v>
      </c>
      <c r="E175" s="6"/>
      <c r="F175" s="6" t="s">
        <v>554</v>
      </c>
      <c r="G175" s="6" t="s">
        <v>367</v>
      </c>
      <c r="H175" s="6" t="s">
        <v>367</v>
      </c>
      <c r="I175" s="6" t="str">
        <f t="shared" si="5"/>
        <v>B</v>
      </c>
      <c r="J175" s="6">
        <v>0</v>
      </c>
      <c r="K175" s="6"/>
    </row>
    <row r="176" spans="1:11" ht="15" customHeight="1" x14ac:dyDescent="0.35">
      <c r="A176" s="6">
        <v>175</v>
      </c>
      <c r="B176" s="6" t="s">
        <v>175</v>
      </c>
      <c r="C176" s="6" t="s">
        <v>559</v>
      </c>
      <c r="D176" s="6" t="s">
        <v>556</v>
      </c>
      <c r="E176" s="6"/>
      <c r="F176" s="6" t="s">
        <v>554</v>
      </c>
      <c r="G176" s="6" t="s">
        <v>367</v>
      </c>
      <c r="H176" s="6" t="s">
        <v>367</v>
      </c>
      <c r="I176" s="6" t="str">
        <f t="shared" si="5"/>
        <v>B</v>
      </c>
      <c r="J176" s="6">
        <v>0</v>
      </c>
      <c r="K176" s="6"/>
    </row>
    <row r="177" spans="1:11" ht="15" customHeight="1" x14ac:dyDescent="0.35">
      <c r="A177" s="6">
        <v>176</v>
      </c>
      <c r="B177" s="6" t="s">
        <v>175</v>
      </c>
      <c r="C177" s="6" t="s">
        <v>560</v>
      </c>
      <c r="D177" s="6" t="s">
        <v>556</v>
      </c>
      <c r="E177" s="6"/>
      <c r="F177" s="6" t="s">
        <v>554</v>
      </c>
      <c r="G177" s="6" t="s">
        <v>367</v>
      </c>
      <c r="H177" s="6" t="s">
        <v>367</v>
      </c>
      <c r="I177" s="6" t="str">
        <f t="shared" si="5"/>
        <v>B</v>
      </c>
      <c r="J177" s="6">
        <v>0</v>
      </c>
      <c r="K177" s="6"/>
    </row>
    <row r="178" spans="1:11" ht="15" customHeight="1" x14ac:dyDescent="0.35">
      <c r="A178" s="6">
        <v>177</v>
      </c>
      <c r="B178" s="6" t="s">
        <v>175</v>
      </c>
      <c r="C178" s="6" t="s">
        <v>561</v>
      </c>
      <c r="D178" s="6" t="s">
        <v>556</v>
      </c>
      <c r="E178" s="6"/>
      <c r="F178" s="6" t="s">
        <v>554</v>
      </c>
      <c r="G178" s="6" t="s">
        <v>367</v>
      </c>
      <c r="H178" s="6" t="s">
        <v>367</v>
      </c>
      <c r="I178" s="6" t="str">
        <f t="shared" si="5"/>
        <v>B</v>
      </c>
      <c r="J178" s="6">
        <v>0</v>
      </c>
      <c r="K178" s="6"/>
    </row>
    <row r="179" spans="1:11" ht="15" customHeight="1" x14ac:dyDescent="0.35">
      <c r="A179" s="6">
        <v>178</v>
      </c>
      <c r="B179" s="6" t="s">
        <v>175</v>
      </c>
      <c r="C179" s="6" t="s">
        <v>562</v>
      </c>
      <c r="D179" s="6" t="s">
        <v>556</v>
      </c>
      <c r="E179" s="6"/>
      <c r="F179" s="6" t="s">
        <v>554</v>
      </c>
      <c r="G179" s="6" t="s">
        <v>367</v>
      </c>
      <c r="H179" s="6" t="s">
        <v>367</v>
      </c>
      <c r="I179" s="6" t="str">
        <f t="shared" si="5"/>
        <v>B</v>
      </c>
      <c r="J179" s="6">
        <v>0</v>
      </c>
      <c r="K179" s="6"/>
    </row>
    <row r="180" spans="1:11" ht="15" customHeight="1" x14ac:dyDescent="0.35">
      <c r="A180" s="6">
        <v>179</v>
      </c>
      <c r="B180" s="6" t="s">
        <v>175</v>
      </c>
      <c r="C180" s="6" t="s">
        <v>563</v>
      </c>
      <c r="D180" s="6" t="s">
        <v>228</v>
      </c>
      <c r="E180" s="6"/>
      <c r="F180" s="6" t="s">
        <v>554</v>
      </c>
      <c r="G180" s="6" t="s">
        <v>93</v>
      </c>
      <c r="H180" s="6" t="s">
        <v>93</v>
      </c>
      <c r="I180" s="6" t="str">
        <f t="shared" si="5"/>
        <v>A</v>
      </c>
      <c r="J180" s="6">
        <v>1</v>
      </c>
      <c r="K180" s="6"/>
    </row>
    <row r="181" spans="1:11" ht="15" customHeight="1" x14ac:dyDescent="0.35">
      <c r="A181" s="6">
        <v>180</v>
      </c>
      <c r="B181" s="6" t="s">
        <v>175</v>
      </c>
      <c r="C181" s="6" t="s">
        <v>564</v>
      </c>
      <c r="D181" s="6" t="s">
        <v>565</v>
      </c>
      <c r="E181" s="6" t="s">
        <v>566</v>
      </c>
      <c r="F181" s="6" t="s">
        <v>567</v>
      </c>
      <c r="G181" s="6" t="s">
        <v>425</v>
      </c>
      <c r="H181" s="6" t="s">
        <v>425</v>
      </c>
      <c r="I181" s="6" t="str">
        <f t="shared" si="5"/>
        <v>D</v>
      </c>
      <c r="J181" s="6">
        <v>0</v>
      </c>
      <c r="K181" s="6"/>
    </row>
    <row r="182" spans="1:11" ht="15" customHeight="1" x14ac:dyDescent="0.35">
      <c r="A182" s="6">
        <v>181</v>
      </c>
      <c r="B182" s="6" t="s">
        <v>181</v>
      </c>
      <c r="C182" s="6" t="s">
        <v>377</v>
      </c>
      <c r="D182" s="6" t="s">
        <v>556</v>
      </c>
      <c r="E182" s="6"/>
      <c r="F182" s="6" t="s">
        <v>554</v>
      </c>
      <c r="G182" s="6" t="s">
        <v>367</v>
      </c>
      <c r="H182" s="6" t="s">
        <v>367</v>
      </c>
      <c r="I182" s="6" t="str">
        <f t="shared" si="5"/>
        <v>B</v>
      </c>
      <c r="J182" s="6">
        <v>0</v>
      </c>
      <c r="K182" s="6"/>
    </row>
    <row r="183" spans="1:11" ht="15" customHeight="1" x14ac:dyDescent="0.35">
      <c r="A183" s="6">
        <v>182</v>
      </c>
      <c r="B183" s="6" t="s">
        <v>181</v>
      </c>
      <c r="C183" s="6" t="s">
        <v>555</v>
      </c>
      <c r="D183" s="6" t="s">
        <v>228</v>
      </c>
      <c r="E183" s="6"/>
      <c r="F183" s="6" t="s">
        <v>554</v>
      </c>
      <c r="G183" s="6" t="s">
        <v>93</v>
      </c>
      <c r="H183" s="6" t="s">
        <v>93</v>
      </c>
      <c r="I183" s="6" t="str">
        <f t="shared" si="5"/>
        <v>A</v>
      </c>
      <c r="J183" s="6">
        <v>1</v>
      </c>
      <c r="K183" s="6"/>
    </row>
    <row r="184" spans="1:11" ht="15" customHeight="1" x14ac:dyDescent="0.35">
      <c r="A184" s="6">
        <v>183</v>
      </c>
      <c r="B184" s="6" t="s">
        <v>181</v>
      </c>
      <c r="C184" s="6" t="s">
        <v>557</v>
      </c>
      <c r="D184" s="6" t="s">
        <v>556</v>
      </c>
      <c r="E184" s="6"/>
      <c r="F184" s="6" t="s">
        <v>554</v>
      </c>
      <c r="G184" s="6" t="s">
        <v>367</v>
      </c>
      <c r="H184" s="6" t="s">
        <v>367</v>
      </c>
      <c r="I184" s="6" t="str">
        <f t="shared" si="5"/>
        <v>B</v>
      </c>
      <c r="J184" s="6">
        <v>0</v>
      </c>
      <c r="K184" s="6"/>
    </row>
    <row r="185" spans="1:11" ht="15" customHeight="1" x14ac:dyDescent="0.35">
      <c r="A185" s="6">
        <v>184</v>
      </c>
      <c r="B185" s="6" t="s">
        <v>181</v>
      </c>
      <c r="C185" s="6" t="s">
        <v>558</v>
      </c>
      <c r="D185" s="6" t="s">
        <v>556</v>
      </c>
      <c r="E185" s="6"/>
      <c r="F185" s="6" t="s">
        <v>554</v>
      </c>
      <c r="G185" s="6" t="s">
        <v>367</v>
      </c>
      <c r="H185" s="6" t="s">
        <v>367</v>
      </c>
      <c r="I185" s="6" t="str">
        <f t="shared" si="5"/>
        <v>B</v>
      </c>
      <c r="J185" s="6">
        <v>0</v>
      </c>
      <c r="K185" s="6"/>
    </row>
    <row r="186" spans="1:11" ht="15" customHeight="1" x14ac:dyDescent="0.35">
      <c r="A186" s="6">
        <v>185</v>
      </c>
      <c r="B186" s="6" t="s">
        <v>181</v>
      </c>
      <c r="C186" s="6" t="s">
        <v>559</v>
      </c>
      <c r="D186" s="6" t="s">
        <v>556</v>
      </c>
      <c r="E186" s="6"/>
      <c r="F186" s="6" t="s">
        <v>554</v>
      </c>
      <c r="G186" s="6" t="s">
        <v>367</v>
      </c>
      <c r="H186" s="6" t="s">
        <v>367</v>
      </c>
      <c r="I186" s="6" t="str">
        <f t="shared" si="5"/>
        <v>B</v>
      </c>
      <c r="J186" s="6">
        <v>0</v>
      </c>
      <c r="K186" s="6"/>
    </row>
    <row r="187" spans="1:11" ht="15" customHeight="1" x14ac:dyDescent="0.35">
      <c r="A187" s="6">
        <v>186</v>
      </c>
      <c r="B187" s="6" t="s">
        <v>181</v>
      </c>
      <c r="C187" s="6" t="s">
        <v>560</v>
      </c>
      <c r="D187" s="6" t="s">
        <v>556</v>
      </c>
      <c r="E187" s="6"/>
      <c r="F187" s="6" t="s">
        <v>554</v>
      </c>
      <c r="G187" s="6" t="s">
        <v>367</v>
      </c>
      <c r="H187" s="6" t="s">
        <v>367</v>
      </c>
      <c r="I187" s="6" t="str">
        <f t="shared" si="5"/>
        <v>B</v>
      </c>
      <c r="J187" s="6">
        <v>0</v>
      </c>
      <c r="K187" s="6"/>
    </row>
    <row r="188" spans="1:11" ht="15" customHeight="1" x14ac:dyDescent="0.35">
      <c r="A188" s="6">
        <v>187</v>
      </c>
      <c r="B188" s="6" t="s">
        <v>181</v>
      </c>
      <c r="C188" s="6" t="s">
        <v>561</v>
      </c>
      <c r="D188" s="6" t="s">
        <v>228</v>
      </c>
      <c r="E188" s="6"/>
      <c r="F188" s="6" t="s">
        <v>554</v>
      </c>
      <c r="G188" s="6" t="s">
        <v>93</v>
      </c>
      <c r="H188" s="6" t="s">
        <v>93</v>
      </c>
      <c r="I188" s="6" t="str">
        <f t="shared" si="5"/>
        <v>A</v>
      </c>
      <c r="J188" s="6">
        <v>1</v>
      </c>
      <c r="K188" s="6"/>
    </row>
    <row r="189" spans="1:11" ht="15" customHeight="1" x14ac:dyDescent="0.35">
      <c r="A189" s="6">
        <v>188</v>
      </c>
      <c r="B189" s="6" t="s">
        <v>181</v>
      </c>
      <c r="C189" s="6" t="s">
        <v>562</v>
      </c>
      <c r="D189" s="6" t="s">
        <v>556</v>
      </c>
      <c r="E189" s="6"/>
      <c r="F189" s="6" t="s">
        <v>554</v>
      </c>
      <c r="G189" s="6" t="s">
        <v>367</v>
      </c>
      <c r="H189" s="6" t="s">
        <v>367</v>
      </c>
      <c r="I189" s="6" t="str">
        <f t="shared" si="5"/>
        <v>B</v>
      </c>
      <c r="J189" s="6">
        <v>0</v>
      </c>
      <c r="K189" s="6"/>
    </row>
    <row r="190" spans="1:11" ht="15" customHeight="1" x14ac:dyDescent="0.35">
      <c r="A190" s="6">
        <v>189</v>
      </c>
      <c r="B190" s="6" t="s">
        <v>181</v>
      </c>
      <c r="C190" s="6" t="s">
        <v>563</v>
      </c>
      <c r="D190" s="6" t="s">
        <v>556</v>
      </c>
      <c r="E190" s="6"/>
      <c r="F190" s="6" t="s">
        <v>554</v>
      </c>
      <c r="G190" s="6" t="s">
        <v>367</v>
      </c>
      <c r="H190" s="6" t="s">
        <v>367</v>
      </c>
      <c r="I190" s="6" t="str">
        <f t="shared" si="5"/>
        <v>B</v>
      </c>
      <c r="J190" s="6">
        <v>0</v>
      </c>
      <c r="K190" s="6"/>
    </row>
    <row r="191" spans="1:11" ht="15" customHeight="1" x14ac:dyDescent="0.35">
      <c r="A191" s="6">
        <v>190</v>
      </c>
      <c r="B191" s="6" t="s">
        <v>181</v>
      </c>
      <c r="C191" s="6" t="s">
        <v>564</v>
      </c>
      <c r="D191" s="6" t="s">
        <v>565</v>
      </c>
      <c r="E191" s="6" t="s">
        <v>566</v>
      </c>
      <c r="F191" s="6" t="s">
        <v>567</v>
      </c>
      <c r="G191" s="6" t="s">
        <v>425</v>
      </c>
      <c r="H191" s="6" t="s">
        <v>425</v>
      </c>
      <c r="I191" s="6" t="str">
        <f t="shared" si="5"/>
        <v>D</v>
      </c>
      <c r="J191" s="6">
        <v>0</v>
      </c>
      <c r="K191" s="6"/>
    </row>
    <row r="192" spans="1:11" ht="15" customHeight="1" x14ac:dyDescent="0.35">
      <c r="A192" s="6">
        <v>191</v>
      </c>
      <c r="B192" s="6" t="s">
        <v>185</v>
      </c>
      <c r="C192" s="6" t="s">
        <v>377</v>
      </c>
      <c r="D192" s="6" t="s">
        <v>556</v>
      </c>
      <c r="E192" s="6"/>
      <c r="F192" s="6" t="s">
        <v>554</v>
      </c>
      <c r="G192" s="6" t="s">
        <v>367</v>
      </c>
      <c r="H192" s="6" t="s">
        <v>367</v>
      </c>
      <c r="I192" s="6" t="str">
        <f t="shared" si="5"/>
        <v>B</v>
      </c>
      <c r="J192" s="6">
        <v>0</v>
      </c>
      <c r="K192" s="6"/>
    </row>
    <row r="193" spans="1:11" ht="15" customHeight="1" x14ac:dyDescent="0.35">
      <c r="A193" s="6">
        <v>192</v>
      </c>
      <c r="B193" s="6" t="s">
        <v>185</v>
      </c>
      <c r="C193" s="6" t="s">
        <v>555</v>
      </c>
      <c r="D193" s="6" t="s">
        <v>556</v>
      </c>
      <c r="E193" s="6"/>
      <c r="F193" s="6" t="s">
        <v>554</v>
      </c>
      <c r="G193" s="6" t="s">
        <v>367</v>
      </c>
      <c r="H193" s="6" t="s">
        <v>367</v>
      </c>
      <c r="I193" s="6" t="str">
        <f t="shared" si="5"/>
        <v>B</v>
      </c>
      <c r="J193" s="6">
        <v>0</v>
      </c>
      <c r="K193" s="6"/>
    </row>
    <row r="194" spans="1:11" ht="15" customHeight="1" x14ac:dyDescent="0.35">
      <c r="A194" s="6">
        <v>193</v>
      </c>
      <c r="B194" s="6" t="s">
        <v>185</v>
      </c>
      <c r="C194" s="6" t="s">
        <v>557</v>
      </c>
      <c r="D194" s="6" t="s">
        <v>556</v>
      </c>
      <c r="E194" s="6"/>
      <c r="F194" s="6" t="s">
        <v>554</v>
      </c>
      <c r="G194" s="6" t="s">
        <v>367</v>
      </c>
      <c r="H194" s="6" t="s">
        <v>367</v>
      </c>
      <c r="I194" s="6" t="str">
        <f t="shared" ref="I194:I201" si="6">IF(OR(G194="",H194=""),"D",IF(OR(G194="D",H194="D"),"D",IF((CODE(G194)+CODE(H194)-130)&lt;=3,"A",IF((CODE(G194)+CODE(H194)-130)=4,"B","C"))))</f>
        <v>B</v>
      </c>
      <c r="J194" s="6">
        <v>0</v>
      </c>
      <c r="K194" s="6"/>
    </row>
    <row r="195" spans="1:11" ht="15" customHeight="1" x14ac:dyDescent="0.35">
      <c r="A195" s="6">
        <v>194</v>
      </c>
      <c r="B195" s="6" t="s">
        <v>185</v>
      </c>
      <c r="C195" s="6" t="s">
        <v>558</v>
      </c>
      <c r="D195" s="6" t="s">
        <v>556</v>
      </c>
      <c r="E195" s="6"/>
      <c r="F195" s="6" t="s">
        <v>554</v>
      </c>
      <c r="G195" s="6" t="s">
        <v>367</v>
      </c>
      <c r="H195" s="6" t="s">
        <v>367</v>
      </c>
      <c r="I195" s="6" t="str">
        <f t="shared" si="6"/>
        <v>B</v>
      </c>
      <c r="J195" s="6">
        <v>0</v>
      </c>
      <c r="K195" s="6"/>
    </row>
    <row r="196" spans="1:11" ht="15" customHeight="1" x14ac:dyDescent="0.35">
      <c r="A196" s="6">
        <v>195</v>
      </c>
      <c r="B196" s="6" t="s">
        <v>185</v>
      </c>
      <c r="C196" s="6" t="s">
        <v>559</v>
      </c>
      <c r="D196" s="6" t="s">
        <v>228</v>
      </c>
      <c r="E196" s="6"/>
      <c r="F196" s="6" t="s">
        <v>554</v>
      </c>
      <c r="G196" s="6" t="s">
        <v>93</v>
      </c>
      <c r="H196" s="6" t="s">
        <v>93</v>
      </c>
      <c r="I196" s="6" t="str">
        <f t="shared" si="6"/>
        <v>A</v>
      </c>
      <c r="J196" s="6">
        <v>1</v>
      </c>
      <c r="K196" s="6"/>
    </row>
    <row r="197" spans="1:11" ht="15" customHeight="1" x14ac:dyDescent="0.35">
      <c r="A197" s="6">
        <v>196</v>
      </c>
      <c r="B197" s="6" t="s">
        <v>185</v>
      </c>
      <c r="C197" s="6" t="s">
        <v>560</v>
      </c>
      <c r="D197" s="6" t="s">
        <v>556</v>
      </c>
      <c r="E197" s="6"/>
      <c r="F197" s="6" t="s">
        <v>554</v>
      </c>
      <c r="G197" s="6" t="s">
        <v>367</v>
      </c>
      <c r="H197" s="6" t="s">
        <v>367</v>
      </c>
      <c r="I197" s="6" t="str">
        <f t="shared" si="6"/>
        <v>B</v>
      </c>
      <c r="J197" s="6">
        <v>0</v>
      </c>
      <c r="K197" s="6"/>
    </row>
    <row r="198" spans="1:11" ht="15" customHeight="1" x14ac:dyDescent="0.35">
      <c r="A198" s="6">
        <v>197</v>
      </c>
      <c r="B198" s="6" t="s">
        <v>185</v>
      </c>
      <c r="C198" s="6" t="s">
        <v>561</v>
      </c>
      <c r="D198" s="6" t="s">
        <v>556</v>
      </c>
      <c r="E198" s="6"/>
      <c r="F198" s="6" t="s">
        <v>554</v>
      </c>
      <c r="G198" s="6" t="s">
        <v>367</v>
      </c>
      <c r="H198" s="6" t="s">
        <v>367</v>
      </c>
      <c r="I198" s="6" t="str">
        <f t="shared" si="6"/>
        <v>B</v>
      </c>
      <c r="J198" s="6">
        <v>0</v>
      </c>
      <c r="K198" s="6"/>
    </row>
    <row r="199" spans="1:11" ht="15" customHeight="1" x14ac:dyDescent="0.35">
      <c r="A199" s="6">
        <v>198</v>
      </c>
      <c r="B199" s="6" t="s">
        <v>185</v>
      </c>
      <c r="C199" s="6" t="s">
        <v>562</v>
      </c>
      <c r="D199" s="6" t="s">
        <v>556</v>
      </c>
      <c r="E199" s="6"/>
      <c r="F199" s="6" t="s">
        <v>554</v>
      </c>
      <c r="G199" s="6" t="s">
        <v>367</v>
      </c>
      <c r="H199" s="6" t="s">
        <v>367</v>
      </c>
      <c r="I199" s="6" t="str">
        <f t="shared" si="6"/>
        <v>B</v>
      </c>
      <c r="J199" s="6">
        <v>0</v>
      </c>
      <c r="K199" s="6"/>
    </row>
    <row r="200" spans="1:11" ht="15" customHeight="1" x14ac:dyDescent="0.35">
      <c r="A200" s="6">
        <v>199</v>
      </c>
      <c r="B200" s="6" t="s">
        <v>185</v>
      </c>
      <c r="C200" s="6" t="s">
        <v>563</v>
      </c>
      <c r="D200" s="6" t="s">
        <v>228</v>
      </c>
      <c r="E200" s="6"/>
      <c r="F200" s="6" t="s">
        <v>554</v>
      </c>
      <c r="G200" s="6" t="s">
        <v>93</v>
      </c>
      <c r="H200" s="6" t="s">
        <v>93</v>
      </c>
      <c r="I200" s="6" t="str">
        <f t="shared" si="6"/>
        <v>A</v>
      </c>
      <c r="J200" s="6">
        <v>1</v>
      </c>
      <c r="K200" s="6"/>
    </row>
    <row r="201" spans="1:11" ht="15" customHeight="1" x14ac:dyDescent="0.35">
      <c r="A201" s="6">
        <v>200</v>
      </c>
      <c r="B201" s="6" t="s">
        <v>185</v>
      </c>
      <c r="C201" s="6" t="s">
        <v>564</v>
      </c>
      <c r="D201" s="6" t="s">
        <v>565</v>
      </c>
      <c r="E201" s="6" t="s">
        <v>566</v>
      </c>
      <c r="F201" s="6" t="s">
        <v>567</v>
      </c>
      <c r="G201" s="6" t="s">
        <v>425</v>
      </c>
      <c r="H201" s="6" t="s">
        <v>425</v>
      </c>
      <c r="I201" s="6" t="str">
        <f t="shared" si="6"/>
        <v>D</v>
      </c>
      <c r="J201" s="6">
        <v>0</v>
      </c>
      <c r="K201" s="6"/>
    </row>
  </sheetData>
  <conditionalFormatting sqref="I2:I500">
    <cfRule type="cellIs" dxfId="54" priority="2" operator="equal">
      <formula>"A"</formula>
    </cfRule>
    <cfRule type="cellIs" dxfId="53" priority="3" operator="equal">
      <formula>"B"</formula>
    </cfRule>
    <cfRule type="cellIs" dxfId="52" priority="4" operator="equal">
      <formula>"C"</formula>
    </cfRule>
    <cfRule type="cellIs" dxfId="51" priority="5" operator="equal">
      <formula>"D"</formula>
    </cfRule>
  </conditionalFormatting>
  <dataValidations count="4">
    <dataValidation type="list" allowBlank="1" sqref="C2:C500" xr:uid="{00000000-0002-0000-0500-000000000000}">
      <formula1>"F,U,R,P,S,+D,+I,+N,+L,+P_phys"</formula1>
      <formula2>0</formula2>
    </dataValidation>
    <dataValidation type="list" allowBlank="1" sqref="D2:D500" xr:uid="{00000000-0002-0000-0500-000001000000}">
      <formula1>"active,pending,na"</formula1>
      <formula2>0</formula2>
    </dataValidation>
    <dataValidation type="list" allowBlank="1" sqref="F2:F500" xr:uid="{00000000-0002-0000-0500-000002000000}">
      <formula1>"iteration,sprint,phase,none"</formula1>
      <formula2>0</formula2>
    </dataValidation>
    <dataValidation type="list" allowBlank="1" sqref="G2:H500" xr:uid="{00000000-0002-0000-0500-000003000000}">
      <formula1>"A,B,C,D"</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14" customWidth="1"/>
    <col min="3" max="3" width="28" customWidth="1"/>
    <col min="4" max="4" width="50" customWidth="1"/>
    <col min="5" max="6" width="22" customWidth="1"/>
    <col min="7" max="7" width="36" customWidth="1"/>
    <col min="8" max="8" width="24" customWidth="1"/>
    <col min="9" max="10" width="22" customWidth="1"/>
    <col min="11" max="11" width="14" customWidth="1"/>
    <col min="12" max="12" width="36" customWidth="1"/>
  </cols>
  <sheetData>
    <row r="1" spans="1:12" ht="27.75" customHeight="1" x14ac:dyDescent="0.35">
      <c r="A1" s="5" t="s">
        <v>42</v>
      </c>
      <c r="B1" s="5" t="s">
        <v>568</v>
      </c>
      <c r="C1" s="5" t="s">
        <v>569</v>
      </c>
      <c r="D1" s="5" t="s">
        <v>570</v>
      </c>
      <c r="E1" s="5" t="s">
        <v>571</v>
      </c>
      <c r="F1" s="5" t="s">
        <v>572</v>
      </c>
      <c r="G1" s="5" t="s">
        <v>573</v>
      </c>
      <c r="H1" s="5" t="s">
        <v>574</v>
      </c>
      <c r="I1" s="5" t="s">
        <v>575</v>
      </c>
      <c r="J1" s="5" t="s">
        <v>576</v>
      </c>
      <c r="K1" s="5" t="s">
        <v>577</v>
      </c>
      <c r="L1" s="5" t="s">
        <v>56</v>
      </c>
    </row>
    <row r="2" spans="1:12" ht="15" customHeight="1" x14ac:dyDescent="0.35">
      <c r="A2" s="6">
        <v>1</v>
      </c>
      <c r="B2" s="6" t="s">
        <v>578</v>
      </c>
      <c r="C2" s="6" t="s">
        <v>234</v>
      </c>
      <c r="D2" s="6" t="s">
        <v>579</v>
      </c>
      <c r="E2" s="6"/>
      <c r="F2" s="6"/>
      <c r="G2" s="6"/>
      <c r="H2" s="6"/>
      <c r="I2" s="6"/>
      <c r="J2" s="6"/>
      <c r="K2" s="6" t="s">
        <v>580</v>
      </c>
      <c r="L2" s="6"/>
    </row>
    <row r="3" spans="1:12" ht="15" customHeight="1" x14ac:dyDescent="0.35">
      <c r="A3" s="6">
        <v>2</v>
      </c>
      <c r="B3" s="6" t="s">
        <v>578</v>
      </c>
      <c r="C3" s="6" t="s">
        <v>254</v>
      </c>
      <c r="D3" s="6" t="s">
        <v>581</v>
      </c>
      <c r="E3" s="6"/>
      <c r="F3" s="6"/>
      <c r="G3" s="6"/>
      <c r="H3" s="6"/>
      <c r="I3" s="6"/>
      <c r="J3" s="6"/>
      <c r="K3" s="6" t="s">
        <v>582</v>
      </c>
      <c r="L3" s="6"/>
    </row>
    <row r="4" spans="1:12" ht="15" customHeight="1" x14ac:dyDescent="0.35">
      <c r="A4" s="6">
        <v>3</v>
      </c>
      <c r="B4" s="6" t="s">
        <v>578</v>
      </c>
      <c r="C4" s="6" t="s">
        <v>457</v>
      </c>
      <c r="D4" s="6" t="s">
        <v>583</v>
      </c>
      <c r="E4" s="6"/>
      <c r="F4" s="6"/>
      <c r="G4" s="6"/>
      <c r="H4" s="6"/>
      <c r="I4" s="6"/>
      <c r="J4" s="6"/>
      <c r="K4" s="6" t="s">
        <v>584</v>
      </c>
      <c r="L4" s="6"/>
    </row>
    <row r="5" spans="1:12" ht="23.25" customHeight="1" x14ac:dyDescent="0.35">
      <c r="A5" s="6">
        <v>4</v>
      </c>
      <c r="B5" s="6" t="s">
        <v>578</v>
      </c>
      <c r="C5" s="6" t="s">
        <v>292</v>
      </c>
      <c r="D5" s="6" t="s">
        <v>585</v>
      </c>
      <c r="E5" s="6"/>
      <c r="F5" s="6"/>
      <c r="G5" s="6"/>
      <c r="H5" s="6"/>
      <c r="I5" s="6"/>
      <c r="J5" s="6"/>
      <c r="K5" s="6" t="s">
        <v>586</v>
      </c>
      <c r="L5" s="6"/>
    </row>
    <row r="6" spans="1:12" ht="15" customHeight="1" x14ac:dyDescent="0.35">
      <c r="A6" s="6">
        <v>5</v>
      </c>
      <c r="B6" s="6" t="s">
        <v>578</v>
      </c>
      <c r="C6" s="6" t="s">
        <v>587</v>
      </c>
      <c r="D6" s="6" t="s">
        <v>588</v>
      </c>
      <c r="E6" s="6"/>
      <c r="F6" s="6"/>
      <c r="G6" s="6"/>
      <c r="H6" s="6"/>
      <c r="I6" s="6"/>
      <c r="J6" s="6"/>
      <c r="K6" s="6" t="s">
        <v>589</v>
      </c>
      <c r="L6" s="6"/>
    </row>
    <row r="7" spans="1:12" ht="15" customHeight="1" x14ac:dyDescent="0.35">
      <c r="A7" s="6">
        <v>6</v>
      </c>
      <c r="B7" s="6" t="s">
        <v>578</v>
      </c>
      <c r="C7" s="6" t="s">
        <v>309</v>
      </c>
      <c r="D7" s="6" t="s">
        <v>590</v>
      </c>
      <c r="E7" s="6"/>
      <c r="F7" s="6"/>
      <c r="G7" s="6"/>
      <c r="H7" s="6"/>
      <c r="I7" s="6"/>
      <c r="J7" s="6"/>
      <c r="K7" s="6" t="s">
        <v>591</v>
      </c>
      <c r="L7" s="6"/>
    </row>
    <row r="8" spans="1:12" ht="23.25" customHeight="1" x14ac:dyDescent="0.35">
      <c r="A8" s="6">
        <v>7</v>
      </c>
      <c r="B8" s="6" t="s">
        <v>578</v>
      </c>
      <c r="C8" s="6" t="s">
        <v>592</v>
      </c>
      <c r="D8" s="6" t="s">
        <v>593</v>
      </c>
      <c r="E8" s="6"/>
      <c r="F8" s="6"/>
      <c r="G8" s="6"/>
      <c r="H8" s="6"/>
      <c r="I8" s="6"/>
      <c r="J8" s="6"/>
      <c r="K8" s="6" t="s">
        <v>594</v>
      </c>
      <c r="L8" s="6"/>
    </row>
    <row r="9" spans="1:12" ht="15" customHeight="1" x14ac:dyDescent="0.35">
      <c r="A9" s="6">
        <v>8</v>
      </c>
      <c r="B9" s="6" t="s">
        <v>578</v>
      </c>
      <c r="C9" s="6" t="s">
        <v>595</v>
      </c>
      <c r="D9" s="6" t="s">
        <v>596</v>
      </c>
      <c r="E9" s="6"/>
      <c r="F9" s="6"/>
      <c r="G9" s="6"/>
      <c r="H9" s="6"/>
      <c r="I9" s="6"/>
      <c r="J9" s="6"/>
      <c r="K9" s="6" t="s">
        <v>597</v>
      </c>
      <c r="L9" s="6"/>
    </row>
    <row r="10" spans="1:12" ht="15" customHeight="1" x14ac:dyDescent="0.35">
      <c r="A10" s="6">
        <v>9</v>
      </c>
      <c r="B10" s="6" t="s">
        <v>598</v>
      </c>
      <c r="C10" s="6" t="s">
        <v>599</v>
      </c>
      <c r="D10" s="6" t="s">
        <v>600</v>
      </c>
      <c r="E10" s="6" t="s">
        <v>601</v>
      </c>
      <c r="F10" s="6" t="s">
        <v>234</v>
      </c>
      <c r="G10" s="6" t="s">
        <v>599</v>
      </c>
      <c r="H10" s="6" t="s">
        <v>602</v>
      </c>
      <c r="I10" s="6"/>
      <c r="J10" s="6" t="s">
        <v>222</v>
      </c>
      <c r="K10" s="6" t="s">
        <v>603</v>
      </c>
      <c r="L10" s="6"/>
    </row>
    <row r="11" spans="1:12" ht="15" customHeight="1" x14ac:dyDescent="0.35">
      <c r="A11" s="6">
        <v>10</v>
      </c>
      <c r="B11" s="6" t="s">
        <v>598</v>
      </c>
      <c r="C11" s="6" t="s">
        <v>604</v>
      </c>
      <c r="D11" s="6" t="s">
        <v>605</v>
      </c>
      <c r="E11" s="6" t="s">
        <v>601</v>
      </c>
      <c r="F11" s="6" t="s">
        <v>595</v>
      </c>
      <c r="G11" s="6" t="s">
        <v>604</v>
      </c>
      <c r="H11" s="6" t="s">
        <v>602</v>
      </c>
      <c r="I11" s="6" t="s">
        <v>606</v>
      </c>
      <c r="J11" s="6" t="s">
        <v>222</v>
      </c>
      <c r="K11" s="6" t="s">
        <v>603</v>
      </c>
      <c r="L11" s="6"/>
    </row>
    <row r="12" spans="1:12" ht="23.25" customHeight="1" x14ac:dyDescent="0.35">
      <c r="A12" s="6">
        <v>11</v>
      </c>
      <c r="B12" s="6" t="s">
        <v>598</v>
      </c>
      <c r="C12" s="6" t="s">
        <v>607</v>
      </c>
      <c r="D12" s="6" t="s">
        <v>608</v>
      </c>
      <c r="E12" s="6" t="s">
        <v>234</v>
      </c>
      <c r="F12" s="6" t="s">
        <v>254</v>
      </c>
      <c r="G12" s="6" t="s">
        <v>607</v>
      </c>
      <c r="H12" s="6" t="s">
        <v>602</v>
      </c>
      <c r="I12" s="6"/>
      <c r="J12" s="6" t="s">
        <v>222</v>
      </c>
      <c r="K12" s="6" t="s">
        <v>609</v>
      </c>
      <c r="L12" s="6"/>
    </row>
    <row r="13" spans="1:12" ht="23.25" customHeight="1" x14ac:dyDescent="0.35">
      <c r="A13" s="6">
        <v>12</v>
      </c>
      <c r="B13" s="6" t="s">
        <v>598</v>
      </c>
      <c r="C13" s="6" t="s">
        <v>610</v>
      </c>
      <c r="D13" s="6" t="s">
        <v>611</v>
      </c>
      <c r="E13" s="6" t="s">
        <v>254</v>
      </c>
      <c r="F13" s="6" t="s">
        <v>457</v>
      </c>
      <c r="G13" s="6" t="s">
        <v>610</v>
      </c>
      <c r="H13" s="6" t="s">
        <v>612</v>
      </c>
      <c r="I13" s="6"/>
      <c r="J13" s="6" t="s">
        <v>267</v>
      </c>
      <c r="K13" s="6" t="s">
        <v>613</v>
      </c>
      <c r="L13" s="6"/>
    </row>
    <row r="14" spans="1:12" ht="23.25" customHeight="1" x14ac:dyDescent="0.35">
      <c r="A14" s="6">
        <v>13</v>
      </c>
      <c r="B14" s="6" t="s">
        <v>598</v>
      </c>
      <c r="C14" s="6" t="s">
        <v>614</v>
      </c>
      <c r="D14" s="6" t="s">
        <v>615</v>
      </c>
      <c r="E14" s="6" t="s">
        <v>457</v>
      </c>
      <c r="F14" s="6" t="s">
        <v>292</v>
      </c>
      <c r="G14" s="6" t="s">
        <v>614</v>
      </c>
      <c r="H14" s="6" t="s">
        <v>612</v>
      </c>
      <c r="I14" s="6"/>
      <c r="J14" s="6" t="s">
        <v>286</v>
      </c>
      <c r="K14" s="6" t="s">
        <v>616</v>
      </c>
      <c r="L14" s="6"/>
    </row>
    <row r="15" spans="1:12" ht="23.25" customHeight="1" x14ac:dyDescent="0.35">
      <c r="A15" s="6">
        <v>14</v>
      </c>
      <c r="B15" s="6" t="s">
        <v>598</v>
      </c>
      <c r="C15" s="6" t="s">
        <v>617</v>
      </c>
      <c r="D15" s="6" t="s">
        <v>618</v>
      </c>
      <c r="E15" s="6" t="s">
        <v>292</v>
      </c>
      <c r="F15" s="6" t="s">
        <v>587</v>
      </c>
      <c r="G15" s="6" t="s">
        <v>617</v>
      </c>
      <c r="H15" s="6" t="s">
        <v>619</v>
      </c>
      <c r="I15" s="6"/>
      <c r="J15" s="6" t="s">
        <v>302</v>
      </c>
      <c r="K15" s="6" t="s">
        <v>620</v>
      </c>
      <c r="L15" s="6"/>
    </row>
    <row r="16" spans="1:12" ht="15" customHeight="1" x14ac:dyDescent="0.35">
      <c r="A16" s="6">
        <v>15</v>
      </c>
      <c r="B16" s="6" t="s">
        <v>598</v>
      </c>
      <c r="C16" s="6" t="s">
        <v>621</v>
      </c>
      <c r="D16" s="6" t="s">
        <v>622</v>
      </c>
      <c r="E16" s="6" t="s">
        <v>587</v>
      </c>
      <c r="F16" s="6" t="s">
        <v>309</v>
      </c>
      <c r="G16" s="6" t="s">
        <v>621</v>
      </c>
      <c r="H16" s="6" t="s">
        <v>623</v>
      </c>
      <c r="I16" s="6"/>
      <c r="J16" s="6" t="s">
        <v>302</v>
      </c>
      <c r="K16" s="6" t="s">
        <v>624</v>
      </c>
      <c r="L16" s="6"/>
    </row>
    <row r="17" spans="1:12" ht="15" customHeight="1" x14ac:dyDescent="0.35">
      <c r="A17" s="6">
        <v>16</v>
      </c>
      <c r="B17" s="6" t="s">
        <v>598</v>
      </c>
      <c r="C17" s="6" t="s">
        <v>625</v>
      </c>
      <c r="D17" s="6" t="s">
        <v>626</v>
      </c>
      <c r="E17" s="6" t="s">
        <v>627</v>
      </c>
      <c r="F17" s="6" t="s">
        <v>595</v>
      </c>
      <c r="G17" s="6" t="s">
        <v>625</v>
      </c>
      <c r="H17" s="6" t="s">
        <v>602</v>
      </c>
      <c r="I17" s="6" t="s">
        <v>625</v>
      </c>
      <c r="J17" s="6" t="s">
        <v>247</v>
      </c>
      <c r="K17" s="6" t="s">
        <v>628</v>
      </c>
      <c r="L17" s="6"/>
    </row>
    <row r="18" spans="1:12" ht="23.25" customHeight="1" x14ac:dyDescent="0.35">
      <c r="A18" s="6">
        <v>17</v>
      </c>
      <c r="B18" s="6" t="s">
        <v>598</v>
      </c>
      <c r="C18" s="6" t="s">
        <v>629</v>
      </c>
      <c r="D18" s="6" t="s">
        <v>630</v>
      </c>
      <c r="E18" s="6" t="s">
        <v>631</v>
      </c>
      <c r="F18" s="6" t="s">
        <v>595</v>
      </c>
      <c r="G18" s="6" t="s">
        <v>629</v>
      </c>
      <c r="H18" s="6" t="s">
        <v>632</v>
      </c>
      <c r="I18" s="6" t="s">
        <v>629</v>
      </c>
      <c r="J18" s="6" t="s">
        <v>247</v>
      </c>
      <c r="K18" s="6" t="s">
        <v>628</v>
      </c>
      <c r="L18" s="6"/>
    </row>
    <row r="19" spans="1:12" ht="34.5" customHeight="1" x14ac:dyDescent="0.35">
      <c r="A19" s="6">
        <v>18</v>
      </c>
      <c r="B19" s="6" t="s">
        <v>598</v>
      </c>
      <c r="C19" s="6" t="s">
        <v>633</v>
      </c>
      <c r="D19" s="6" t="s">
        <v>634</v>
      </c>
      <c r="E19" s="6" t="s">
        <v>635</v>
      </c>
      <c r="F19" s="6" t="s">
        <v>636</v>
      </c>
      <c r="G19" s="6" t="s">
        <v>633</v>
      </c>
      <c r="H19" s="6" t="s">
        <v>637</v>
      </c>
      <c r="I19" s="6" t="s">
        <v>633</v>
      </c>
      <c r="J19" s="6" t="s">
        <v>267</v>
      </c>
      <c r="K19" s="6" t="s">
        <v>638</v>
      </c>
      <c r="L19" s="6"/>
    </row>
    <row r="20" spans="1:12" ht="15" customHeight="1" x14ac:dyDescent="0.35">
      <c r="A20" s="6">
        <v>19</v>
      </c>
      <c r="B20" s="6" t="s">
        <v>598</v>
      </c>
      <c r="C20" s="6" t="s">
        <v>639</v>
      </c>
      <c r="D20" s="6" t="s">
        <v>640</v>
      </c>
      <c r="E20" s="6" t="s">
        <v>627</v>
      </c>
      <c r="F20" s="6" t="s">
        <v>592</v>
      </c>
      <c r="G20" s="6" t="s">
        <v>639</v>
      </c>
      <c r="H20" s="6" t="s">
        <v>632</v>
      </c>
      <c r="I20" s="6"/>
      <c r="J20" s="6" t="s">
        <v>379</v>
      </c>
      <c r="K20" s="6" t="s">
        <v>641</v>
      </c>
      <c r="L20" s="6"/>
    </row>
    <row r="21" spans="1:12" ht="23.25" customHeight="1" x14ac:dyDescent="0.35">
      <c r="A21" s="6">
        <v>20</v>
      </c>
      <c r="B21" s="6" t="s">
        <v>598</v>
      </c>
      <c r="C21" s="6" t="s">
        <v>642</v>
      </c>
      <c r="D21" s="6" t="s">
        <v>643</v>
      </c>
      <c r="E21" s="6" t="s">
        <v>644</v>
      </c>
      <c r="F21" s="6" t="s">
        <v>645</v>
      </c>
      <c r="G21" s="6" t="s">
        <v>642</v>
      </c>
      <c r="H21" s="6" t="s">
        <v>646</v>
      </c>
      <c r="I21" s="6" t="s">
        <v>642</v>
      </c>
      <c r="J21" s="6" t="s">
        <v>342</v>
      </c>
      <c r="K21" s="6" t="s">
        <v>647</v>
      </c>
      <c r="L21" s="6"/>
    </row>
  </sheetData>
  <dataValidations count="1">
    <dataValidation type="list" allowBlank="1" sqref="B2:B500" xr:uid="{00000000-0002-0000-0600-000000000000}">
      <formula1>"state,transition"</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50"/>
  <sheetViews>
    <sheetView zoomScaleNormal="100" workbookViewId="0">
      <pane ySplit="1" topLeftCell="A24" activePane="bottomLeft" state="frozen"/>
      <selection pane="bottomLeft" activeCell="F20" sqref="F20"/>
    </sheetView>
  </sheetViews>
  <sheetFormatPr defaultColWidth="8.6328125" defaultRowHeight="14.5" x14ac:dyDescent="0.35"/>
  <cols>
    <col min="1" max="1" width="6" customWidth="1"/>
    <col min="2" max="2" width="16" customWidth="1"/>
    <col min="3" max="4" width="36" customWidth="1"/>
    <col min="5" max="7" width="50" customWidth="1"/>
    <col min="8" max="8" width="10.453125" bestFit="1" customWidth="1"/>
    <col min="9" max="9" width="9.6328125" customWidth="1"/>
    <col min="10" max="10" width="14" customWidth="1"/>
    <col min="11" max="11" width="12" customWidth="1"/>
    <col min="12" max="14" width="8" customWidth="1"/>
    <col min="15" max="15" width="12" customWidth="1"/>
    <col min="16" max="16" width="14" customWidth="1"/>
    <col min="17" max="17" width="18" customWidth="1"/>
    <col min="18" max="18" width="12" customWidth="1"/>
    <col min="19" max="19" width="36" customWidth="1"/>
    <col min="20" max="20" width="50" customWidth="1"/>
    <col min="21" max="21" width="36" customWidth="1"/>
    <col min="22" max="22" width="30" customWidth="1"/>
    <col min="23" max="24" width="22" customWidth="1"/>
    <col min="25" max="25" width="18" customWidth="1"/>
    <col min="26" max="26" width="26" customWidth="1"/>
    <col min="27" max="27" width="24" customWidth="1"/>
    <col min="28" max="28" width="32" customWidth="1"/>
    <col min="29" max="30" width="12" customWidth="1"/>
    <col min="31" max="32" width="18" customWidth="1"/>
    <col min="33" max="33" width="50" customWidth="1"/>
    <col min="34" max="34" width="18" customWidth="1"/>
    <col min="35" max="35" width="22" customWidth="1"/>
    <col min="36" max="36" width="14" customWidth="1"/>
  </cols>
  <sheetData>
    <row r="1" spans="1:39" ht="27.75" customHeight="1" x14ac:dyDescent="0.35">
      <c r="A1" s="5" t="s">
        <v>42</v>
      </c>
      <c r="B1" s="5" t="s">
        <v>43</v>
      </c>
      <c r="C1" s="5" t="s">
        <v>44</v>
      </c>
      <c r="D1" s="5" t="s">
        <v>45</v>
      </c>
      <c r="E1" s="5" t="s">
        <v>46</v>
      </c>
      <c r="F1" s="5" t="s">
        <v>47</v>
      </c>
      <c r="G1" s="5" t="s">
        <v>1545</v>
      </c>
      <c r="H1" s="5" t="s">
        <v>1264</v>
      </c>
      <c r="I1" s="5" t="s">
        <v>1550</v>
      </c>
      <c r="J1" s="5" t="s">
        <v>201</v>
      </c>
      <c r="K1" s="5" t="s">
        <v>202</v>
      </c>
      <c r="L1" s="5" t="s">
        <v>52</v>
      </c>
      <c r="M1" s="5" t="s">
        <v>53</v>
      </c>
      <c r="N1" s="5" t="s">
        <v>28</v>
      </c>
      <c r="O1" s="5" t="s">
        <v>54</v>
      </c>
      <c r="P1" s="5" t="s">
        <v>55</v>
      </c>
      <c r="Q1" s="5" t="s">
        <v>648</v>
      </c>
      <c r="R1" s="5" t="s">
        <v>36</v>
      </c>
      <c r="S1" s="5" t="s">
        <v>649</v>
      </c>
      <c r="T1" s="5" t="s">
        <v>650</v>
      </c>
      <c r="U1" s="5" t="s">
        <v>651</v>
      </c>
      <c r="V1" s="5" t="s">
        <v>652</v>
      </c>
      <c r="W1" s="5" t="s">
        <v>207</v>
      </c>
      <c r="X1" s="5" t="s">
        <v>653</v>
      </c>
      <c r="Y1" s="5" t="s">
        <v>654</v>
      </c>
      <c r="Z1" s="5" t="s">
        <v>208</v>
      </c>
      <c r="AA1" s="5" t="s">
        <v>655</v>
      </c>
      <c r="AB1" s="5" t="s">
        <v>656</v>
      </c>
      <c r="AC1" s="5" t="s">
        <v>657</v>
      </c>
      <c r="AD1" s="5" t="s">
        <v>658</v>
      </c>
      <c r="AE1" s="5" t="s">
        <v>212</v>
      </c>
      <c r="AF1" s="5" t="s">
        <v>213</v>
      </c>
      <c r="AG1" s="5" t="s">
        <v>56</v>
      </c>
      <c r="AH1" s="5" t="s">
        <v>49</v>
      </c>
      <c r="AI1" s="5" t="s">
        <v>659</v>
      </c>
      <c r="AJ1" s="5" t="s">
        <v>660</v>
      </c>
      <c r="AK1" s="15" t="s">
        <v>661</v>
      </c>
      <c r="AL1" s="15" t="s">
        <v>57</v>
      </c>
      <c r="AM1" s="15" t="s">
        <v>58</v>
      </c>
    </row>
    <row r="2" spans="1:39" ht="23.25" customHeight="1" x14ac:dyDescent="0.35">
      <c r="A2" s="8">
        <v>1</v>
      </c>
      <c r="B2" s="8" t="s">
        <v>662</v>
      </c>
      <c r="C2" s="6" t="s">
        <v>663</v>
      </c>
      <c r="D2" s="6" t="s">
        <v>663</v>
      </c>
      <c r="E2" s="6" t="s">
        <v>664</v>
      </c>
      <c r="F2" s="6" t="s">
        <v>665</v>
      </c>
      <c r="G2" s="6" t="s">
        <v>1547</v>
      </c>
      <c r="H2" s="6" t="s">
        <v>1551</v>
      </c>
      <c r="I2" s="6" t="s">
        <v>1552</v>
      </c>
      <c r="J2" s="6" t="s">
        <v>666</v>
      </c>
      <c r="K2" s="6" t="s">
        <v>366</v>
      </c>
      <c r="L2" s="6" t="s">
        <v>68</v>
      </c>
      <c r="M2" s="6" t="s">
        <v>68</v>
      </c>
      <c r="N2" s="28" t="s">
        <v>68</v>
      </c>
      <c r="O2" s="6" t="s">
        <v>69</v>
      </c>
      <c r="P2" s="7">
        <v>46147</v>
      </c>
      <c r="Q2" s="6" t="s">
        <v>222</v>
      </c>
      <c r="R2" s="6" t="s">
        <v>667</v>
      </c>
      <c r="S2" s="6" t="s">
        <v>668</v>
      </c>
      <c r="T2" s="6" t="s">
        <v>669</v>
      </c>
      <c r="U2" s="6" t="s">
        <v>670</v>
      </c>
      <c r="V2" s="6" t="s">
        <v>671</v>
      </c>
      <c r="W2" s="6" t="s">
        <v>233</v>
      </c>
      <c r="X2" s="6" t="s">
        <v>672</v>
      </c>
      <c r="Y2" s="6" t="s">
        <v>673</v>
      </c>
      <c r="Z2" s="6" t="s">
        <v>234</v>
      </c>
      <c r="AA2" s="6"/>
      <c r="AB2" s="6" t="s">
        <v>674</v>
      </c>
      <c r="AC2" s="6"/>
      <c r="AD2" s="6"/>
      <c r="AE2" s="7">
        <v>46147</v>
      </c>
      <c r="AF2" s="7">
        <v>46148</v>
      </c>
      <c r="AG2" s="6" t="s">
        <v>675</v>
      </c>
      <c r="AH2" s="3" t="s">
        <v>65</v>
      </c>
      <c r="AI2" s="3" t="s">
        <v>676</v>
      </c>
      <c r="AJ2" s="3" t="s">
        <v>667</v>
      </c>
      <c r="AL2" s="37" t="s">
        <v>70</v>
      </c>
      <c r="AM2" s="37" t="s">
        <v>70</v>
      </c>
    </row>
    <row r="3" spans="1:39" ht="23.25" customHeight="1" x14ac:dyDescent="0.35">
      <c r="A3" s="8">
        <v>2</v>
      </c>
      <c r="B3" s="8" t="s">
        <v>677</v>
      </c>
      <c r="C3" s="6" t="s">
        <v>678</v>
      </c>
      <c r="D3" s="6" t="s">
        <v>678</v>
      </c>
      <c r="E3" s="6" t="s">
        <v>679</v>
      </c>
      <c r="F3" s="6" t="s">
        <v>680</v>
      </c>
      <c r="G3" s="6" t="s">
        <v>680</v>
      </c>
      <c r="H3" s="6" t="s">
        <v>1551</v>
      </c>
      <c r="I3" s="6" t="s">
        <v>1552</v>
      </c>
      <c r="J3" s="6" t="s">
        <v>666</v>
      </c>
      <c r="K3" s="6" t="s">
        <v>366</v>
      </c>
      <c r="L3" s="6" t="s">
        <v>68</v>
      </c>
      <c r="M3" s="6" t="s">
        <v>68</v>
      </c>
      <c r="N3" s="28" t="s">
        <v>68</v>
      </c>
      <c r="O3" s="6" t="s">
        <v>69</v>
      </c>
      <c r="P3" s="7">
        <v>46147</v>
      </c>
      <c r="Q3" s="6" t="s">
        <v>222</v>
      </c>
      <c r="R3" s="6" t="s">
        <v>681</v>
      </c>
      <c r="S3" s="6" t="s">
        <v>668</v>
      </c>
      <c r="T3" s="6" t="s">
        <v>669</v>
      </c>
      <c r="U3" s="6" t="s">
        <v>670</v>
      </c>
      <c r="V3" s="6" t="s">
        <v>671</v>
      </c>
      <c r="W3" s="6" t="s">
        <v>233</v>
      </c>
      <c r="X3" s="6" t="s">
        <v>672</v>
      </c>
      <c r="Y3" s="6" t="s">
        <v>673</v>
      </c>
      <c r="Z3" s="6" t="s">
        <v>373</v>
      </c>
      <c r="AA3" s="6" t="s">
        <v>604</v>
      </c>
      <c r="AB3" s="6" t="s">
        <v>682</v>
      </c>
      <c r="AC3" s="6"/>
      <c r="AD3" s="6"/>
      <c r="AE3" s="7">
        <v>46147</v>
      </c>
      <c r="AF3" s="7">
        <v>46148</v>
      </c>
      <c r="AG3" s="6" t="s">
        <v>683</v>
      </c>
      <c r="AH3" s="3" t="s">
        <v>65</v>
      </c>
      <c r="AI3" s="3" t="s">
        <v>676</v>
      </c>
      <c r="AJ3" s="3" t="s">
        <v>684</v>
      </c>
      <c r="AL3" s="37" t="s">
        <v>70</v>
      </c>
      <c r="AM3" s="37" t="s">
        <v>70</v>
      </c>
    </row>
    <row r="4" spans="1:39" ht="23.25" customHeight="1" x14ac:dyDescent="0.35">
      <c r="A4" s="8">
        <v>3</v>
      </c>
      <c r="B4" s="8" t="s">
        <v>685</v>
      </c>
      <c r="C4" s="6" t="s">
        <v>686</v>
      </c>
      <c r="D4" s="6" t="s">
        <v>687</v>
      </c>
      <c r="E4" s="6" t="s">
        <v>688</v>
      </c>
      <c r="F4" s="6" t="s">
        <v>689</v>
      </c>
      <c r="G4" s="6" t="s">
        <v>1548</v>
      </c>
      <c r="H4" s="6" t="s">
        <v>1551</v>
      </c>
      <c r="I4" s="6" t="s">
        <v>1552</v>
      </c>
      <c r="J4" s="6" t="s">
        <v>666</v>
      </c>
      <c r="K4" s="6" t="s">
        <v>366</v>
      </c>
      <c r="L4" s="6" t="s">
        <v>68</v>
      </c>
      <c r="M4" s="6" t="s">
        <v>68</v>
      </c>
      <c r="N4" s="28" t="s">
        <v>68</v>
      </c>
      <c r="O4" s="6" t="s">
        <v>69</v>
      </c>
      <c r="P4" s="7">
        <v>46147</v>
      </c>
      <c r="Q4" s="6" t="s">
        <v>247</v>
      </c>
      <c r="R4" s="6" t="s">
        <v>667</v>
      </c>
      <c r="S4" s="6" t="s">
        <v>668</v>
      </c>
      <c r="T4" s="6" t="s">
        <v>669</v>
      </c>
      <c r="U4" s="6" t="s">
        <v>670</v>
      </c>
      <c r="V4" s="6" t="s">
        <v>671</v>
      </c>
      <c r="W4" s="6" t="s">
        <v>233</v>
      </c>
      <c r="X4" s="6" t="s">
        <v>672</v>
      </c>
      <c r="Y4" s="6" t="s">
        <v>673</v>
      </c>
      <c r="Z4" s="6" t="s">
        <v>254</v>
      </c>
      <c r="AA4" s="6"/>
      <c r="AB4" s="6" t="s">
        <v>690</v>
      </c>
      <c r="AC4" s="6"/>
      <c r="AD4" s="6"/>
      <c r="AE4" s="7">
        <v>46147</v>
      </c>
      <c r="AF4" s="7">
        <v>46148</v>
      </c>
      <c r="AG4" s="6" t="s">
        <v>691</v>
      </c>
      <c r="AH4" s="3" t="s">
        <v>65</v>
      </c>
      <c r="AI4" s="3" t="s">
        <v>692</v>
      </c>
      <c r="AJ4" s="3" t="s">
        <v>667</v>
      </c>
      <c r="AL4" s="37" t="s">
        <v>70</v>
      </c>
      <c r="AM4" s="37" t="s">
        <v>70</v>
      </c>
    </row>
    <row r="5" spans="1:39" ht="34.5" customHeight="1" x14ac:dyDescent="0.35">
      <c r="A5" s="8">
        <v>4</v>
      </c>
      <c r="B5" s="8" t="s">
        <v>693</v>
      </c>
      <c r="C5" s="6" t="s">
        <v>694</v>
      </c>
      <c r="D5" s="6" t="s">
        <v>695</v>
      </c>
      <c r="E5" s="6" t="s">
        <v>696</v>
      </c>
      <c r="F5" s="6" t="s">
        <v>697</v>
      </c>
      <c r="G5" s="6" t="s">
        <v>1549</v>
      </c>
      <c r="H5" s="6" t="s">
        <v>1551</v>
      </c>
      <c r="I5" s="6" t="s">
        <v>1552</v>
      </c>
      <c r="J5" s="6" t="s">
        <v>666</v>
      </c>
      <c r="K5" s="6" t="s">
        <v>366</v>
      </c>
      <c r="L5" s="6" t="s">
        <v>68</v>
      </c>
      <c r="M5" s="6" t="s">
        <v>68</v>
      </c>
      <c r="N5" s="28" t="s">
        <v>68</v>
      </c>
      <c r="O5" s="6" t="s">
        <v>69</v>
      </c>
      <c r="P5" s="7">
        <v>46147</v>
      </c>
      <c r="Q5" s="6" t="s">
        <v>247</v>
      </c>
      <c r="R5" s="6" t="s">
        <v>681</v>
      </c>
      <c r="S5" s="6" t="s">
        <v>668</v>
      </c>
      <c r="T5" s="6" t="s">
        <v>669</v>
      </c>
      <c r="U5" s="6" t="s">
        <v>670</v>
      </c>
      <c r="V5" s="6" t="s">
        <v>671</v>
      </c>
      <c r="W5" s="6" t="s">
        <v>233</v>
      </c>
      <c r="X5" s="6" t="s">
        <v>672</v>
      </c>
      <c r="Y5" s="6" t="s">
        <v>673</v>
      </c>
      <c r="Z5" s="6" t="s">
        <v>595</v>
      </c>
      <c r="AA5" s="6" t="s">
        <v>625</v>
      </c>
      <c r="AB5" s="6" t="s">
        <v>698</v>
      </c>
      <c r="AC5" s="6"/>
      <c r="AD5" s="6"/>
      <c r="AE5" s="7">
        <v>46147</v>
      </c>
      <c r="AF5" s="7">
        <v>46148</v>
      </c>
      <c r="AG5" s="6" t="s">
        <v>699</v>
      </c>
      <c r="AH5" s="3" t="s">
        <v>65</v>
      </c>
      <c r="AI5" s="3" t="s">
        <v>700</v>
      </c>
      <c r="AJ5" s="3" t="s">
        <v>684</v>
      </c>
      <c r="AL5" s="37" t="s">
        <v>70</v>
      </c>
      <c r="AM5" s="37" t="s">
        <v>70</v>
      </c>
    </row>
    <row r="6" spans="1:39" ht="34.5" customHeight="1" x14ac:dyDescent="0.35">
      <c r="A6" s="8">
        <v>5</v>
      </c>
      <c r="B6" s="8" t="s">
        <v>701</v>
      </c>
      <c r="C6" s="6" t="s">
        <v>702</v>
      </c>
      <c r="D6" s="6" t="s">
        <v>703</v>
      </c>
      <c r="E6" s="6" t="s">
        <v>704</v>
      </c>
      <c r="F6" s="6" t="s">
        <v>705</v>
      </c>
      <c r="G6" s="6" t="s">
        <v>1556</v>
      </c>
      <c r="H6" s="6" t="s">
        <v>1551</v>
      </c>
      <c r="I6" s="6"/>
      <c r="J6" s="6" t="s">
        <v>666</v>
      </c>
      <c r="K6" s="6" t="s">
        <v>366</v>
      </c>
      <c r="L6" s="6" t="s">
        <v>68</v>
      </c>
      <c r="M6" s="6" t="s">
        <v>93</v>
      </c>
      <c r="N6" s="28" t="s">
        <v>68</v>
      </c>
      <c r="O6" s="6" t="s">
        <v>69</v>
      </c>
      <c r="P6" s="7">
        <v>46147</v>
      </c>
      <c r="Q6" s="6" t="s">
        <v>247</v>
      </c>
      <c r="R6" s="6" t="s">
        <v>681</v>
      </c>
      <c r="S6" s="6" t="s">
        <v>668</v>
      </c>
      <c r="T6" s="6" t="s">
        <v>669</v>
      </c>
      <c r="U6" s="6" t="s">
        <v>670</v>
      </c>
      <c r="V6" s="6" t="s">
        <v>671</v>
      </c>
      <c r="W6" s="6" t="s">
        <v>233</v>
      </c>
      <c r="X6" s="6" t="s">
        <v>672</v>
      </c>
      <c r="Y6" s="6" t="s">
        <v>673</v>
      </c>
      <c r="Z6" s="6" t="s">
        <v>595</v>
      </c>
      <c r="AA6" s="6" t="s">
        <v>629</v>
      </c>
      <c r="AB6" s="6" t="s">
        <v>706</v>
      </c>
      <c r="AC6" s="6"/>
      <c r="AD6" s="6"/>
      <c r="AE6" s="7">
        <v>46147</v>
      </c>
      <c r="AF6" s="7">
        <v>46148</v>
      </c>
      <c r="AG6" s="6" t="s">
        <v>707</v>
      </c>
      <c r="AH6" s="3" t="s">
        <v>65</v>
      </c>
      <c r="AI6" s="3" t="s">
        <v>708</v>
      </c>
      <c r="AJ6" s="3" t="s">
        <v>667</v>
      </c>
      <c r="AL6" s="37" t="s">
        <v>70</v>
      </c>
      <c r="AM6" s="37" t="s">
        <v>70</v>
      </c>
    </row>
    <row r="7" spans="1:39" ht="34.5" customHeight="1" x14ac:dyDescent="0.35">
      <c r="A7" s="8">
        <v>6</v>
      </c>
      <c r="B7" s="8" t="s">
        <v>709</v>
      </c>
      <c r="C7" s="6" t="s">
        <v>710</v>
      </c>
      <c r="D7" s="6" t="s">
        <v>710</v>
      </c>
      <c r="E7" s="6" t="s">
        <v>711</v>
      </c>
      <c r="F7" s="6" t="s">
        <v>712</v>
      </c>
      <c r="G7" s="6" t="s">
        <v>1555</v>
      </c>
      <c r="H7" s="6" t="s">
        <v>1551</v>
      </c>
      <c r="I7" s="6" t="s">
        <v>1552</v>
      </c>
      <c r="J7" s="6" t="s">
        <v>666</v>
      </c>
      <c r="K7" s="6" t="s">
        <v>366</v>
      </c>
      <c r="L7" s="6" t="s">
        <v>93</v>
      </c>
      <c r="M7" s="6" t="s">
        <v>93</v>
      </c>
      <c r="N7" s="29" t="s">
        <v>93</v>
      </c>
      <c r="O7" s="6" t="s">
        <v>69</v>
      </c>
      <c r="P7" s="7">
        <v>46147</v>
      </c>
      <c r="Q7" s="6" t="s">
        <v>247</v>
      </c>
      <c r="R7" s="6" t="s">
        <v>681</v>
      </c>
      <c r="S7" s="6" t="s">
        <v>668</v>
      </c>
      <c r="T7" s="6" t="s">
        <v>669</v>
      </c>
      <c r="U7" s="6" t="s">
        <v>670</v>
      </c>
      <c r="V7" s="6" t="s">
        <v>671</v>
      </c>
      <c r="W7" s="6" t="s">
        <v>233</v>
      </c>
      <c r="X7" s="6" t="s">
        <v>672</v>
      </c>
      <c r="Y7" s="6" t="s">
        <v>673</v>
      </c>
      <c r="Z7" s="6" t="s">
        <v>373</v>
      </c>
      <c r="AA7" s="6" t="s">
        <v>713</v>
      </c>
      <c r="AB7" s="6" t="s">
        <v>714</v>
      </c>
      <c r="AC7" s="6"/>
      <c r="AD7" s="6"/>
      <c r="AE7" s="7">
        <v>46147</v>
      </c>
      <c r="AF7" s="7">
        <v>46148</v>
      </c>
      <c r="AG7" s="6" t="s">
        <v>715</v>
      </c>
      <c r="AH7" s="3" t="s">
        <v>65</v>
      </c>
      <c r="AI7" s="3" t="s">
        <v>716</v>
      </c>
      <c r="AJ7" s="3" t="s">
        <v>684</v>
      </c>
      <c r="AL7" s="37" t="s">
        <v>70</v>
      </c>
      <c r="AM7" s="37" t="s">
        <v>70</v>
      </c>
    </row>
    <row r="8" spans="1:39" ht="23.25" customHeight="1" x14ac:dyDescent="0.35">
      <c r="A8" s="8">
        <v>7</v>
      </c>
      <c r="B8" s="8" t="s">
        <v>717</v>
      </c>
      <c r="C8" s="6" t="s">
        <v>718</v>
      </c>
      <c r="D8" s="6" t="s">
        <v>718</v>
      </c>
      <c r="E8" s="6" t="s">
        <v>719</v>
      </c>
      <c r="F8" s="6" t="s">
        <v>720</v>
      </c>
      <c r="G8" s="6" t="s">
        <v>1557</v>
      </c>
      <c r="H8" s="6" t="s">
        <v>1551</v>
      </c>
      <c r="I8" s="6" t="s">
        <v>1552</v>
      </c>
      <c r="J8" s="6" t="s">
        <v>666</v>
      </c>
      <c r="K8" s="6" t="s">
        <v>366</v>
      </c>
      <c r="L8" s="6" t="s">
        <v>68</v>
      </c>
      <c r="M8" s="6" t="s">
        <v>93</v>
      </c>
      <c r="N8" s="28" t="s">
        <v>68</v>
      </c>
      <c r="O8" s="6" t="s">
        <v>69</v>
      </c>
      <c r="P8" s="7">
        <v>46147</v>
      </c>
      <c r="Q8" s="6" t="s">
        <v>247</v>
      </c>
      <c r="R8" s="6" t="s">
        <v>721</v>
      </c>
      <c r="S8" s="6" t="s">
        <v>668</v>
      </c>
      <c r="T8" s="6" t="s">
        <v>669</v>
      </c>
      <c r="U8" s="6" t="s">
        <v>670</v>
      </c>
      <c r="V8" s="6" t="s">
        <v>671</v>
      </c>
      <c r="W8" s="6" t="s">
        <v>233</v>
      </c>
      <c r="X8" s="6" t="s">
        <v>672</v>
      </c>
      <c r="Y8" s="6" t="s">
        <v>673</v>
      </c>
      <c r="Z8" s="6" t="s">
        <v>254</v>
      </c>
      <c r="AA8" s="6"/>
      <c r="AB8" s="6" t="s">
        <v>722</v>
      </c>
      <c r="AC8" s="6"/>
      <c r="AD8" s="6"/>
      <c r="AE8" s="7">
        <v>46147</v>
      </c>
      <c r="AF8" s="7">
        <v>46148</v>
      </c>
      <c r="AG8" s="6" t="s">
        <v>723</v>
      </c>
      <c r="AH8" s="3" t="s">
        <v>65</v>
      </c>
      <c r="AI8" s="3" t="s">
        <v>724</v>
      </c>
      <c r="AJ8" s="3" t="s">
        <v>721</v>
      </c>
      <c r="AL8" s="37" t="s">
        <v>70</v>
      </c>
      <c r="AM8" s="37" t="s">
        <v>70</v>
      </c>
    </row>
    <row r="9" spans="1:39" ht="23.25" customHeight="1" x14ac:dyDescent="0.35">
      <c r="A9" s="8">
        <v>8</v>
      </c>
      <c r="B9" s="8" t="s">
        <v>725</v>
      </c>
      <c r="C9" s="6" t="s">
        <v>726</v>
      </c>
      <c r="D9" s="6" t="s">
        <v>726</v>
      </c>
      <c r="E9" s="6" t="s">
        <v>727</v>
      </c>
      <c r="F9" s="6" t="s">
        <v>728</v>
      </c>
      <c r="G9" s="6" t="s">
        <v>1559</v>
      </c>
      <c r="H9" s="6" t="s">
        <v>1551</v>
      </c>
      <c r="I9" s="6" t="s">
        <v>1553</v>
      </c>
      <c r="J9" s="6" t="s">
        <v>666</v>
      </c>
      <c r="K9" s="6" t="s">
        <v>366</v>
      </c>
      <c r="L9" s="6" t="s">
        <v>68</v>
      </c>
      <c r="M9" s="6" t="s">
        <v>68</v>
      </c>
      <c r="N9" s="28" t="s">
        <v>68</v>
      </c>
      <c r="O9" s="6" t="s">
        <v>69</v>
      </c>
      <c r="P9" s="7">
        <v>46147</v>
      </c>
      <c r="Q9" s="6" t="s">
        <v>267</v>
      </c>
      <c r="R9" s="6" t="s">
        <v>667</v>
      </c>
      <c r="S9" s="6" t="s">
        <v>668</v>
      </c>
      <c r="T9" s="6" t="s">
        <v>669</v>
      </c>
      <c r="U9" s="6" t="s">
        <v>670</v>
      </c>
      <c r="V9" s="6" t="s">
        <v>671</v>
      </c>
      <c r="W9" s="6" t="s">
        <v>233</v>
      </c>
      <c r="X9" s="6" t="s">
        <v>672</v>
      </c>
      <c r="Y9" s="6" t="s">
        <v>673</v>
      </c>
      <c r="Z9" s="6" t="s">
        <v>254</v>
      </c>
      <c r="AA9" s="6"/>
      <c r="AB9" s="6" t="s">
        <v>729</v>
      </c>
      <c r="AC9" s="6"/>
      <c r="AD9" s="6"/>
      <c r="AE9" s="7">
        <v>46147</v>
      </c>
      <c r="AF9" s="7">
        <v>46148</v>
      </c>
      <c r="AG9" s="6" t="s">
        <v>730</v>
      </c>
      <c r="AH9" s="3" t="s">
        <v>731</v>
      </c>
      <c r="AI9" s="3" t="s">
        <v>732</v>
      </c>
      <c r="AJ9" s="3" t="s">
        <v>667</v>
      </c>
      <c r="AL9" s="37" t="s">
        <v>70</v>
      </c>
      <c r="AM9" s="37" t="s">
        <v>70</v>
      </c>
    </row>
    <row r="10" spans="1:39" ht="34.5" customHeight="1" x14ac:dyDescent="0.35">
      <c r="A10" s="8">
        <v>9</v>
      </c>
      <c r="B10" s="8" t="s">
        <v>733</v>
      </c>
      <c r="C10" s="6" t="s">
        <v>734</v>
      </c>
      <c r="D10" s="6" t="s">
        <v>734</v>
      </c>
      <c r="E10" s="6" t="s">
        <v>735</v>
      </c>
      <c r="F10" s="6" t="s">
        <v>736</v>
      </c>
      <c r="G10" s="6" t="s">
        <v>1560</v>
      </c>
      <c r="H10" s="6" t="s">
        <v>1551</v>
      </c>
      <c r="I10" s="6" t="s">
        <v>1553</v>
      </c>
      <c r="J10" s="6" t="s">
        <v>666</v>
      </c>
      <c r="K10" s="6" t="s">
        <v>366</v>
      </c>
      <c r="L10" s="6" t="s">
        <v>68</v>
      </c>
      <c r="M10" s="6" t="s">
        <v>68</v>
      </c>
      <c r="N10" s="28" t="s">
        <v>68</v>
      </c>
      <c r="O10" s="6" t="s">
        <v>69</v>
      </c>
      <c r="P10" s="7">
        <v>46147</v>
      </c>
      <c r="Q10" s="6" t="s">
        <v>267</v>
      </c>
      <c r="R10" s="6" t="s">
        <v>721</v>
      </c>
      <c r="S10" s="6" t="s">
        <v>668</v>
      </c>
      <c r="T10" s="6" t="s">
        <v>669</v>
      </c>
      <c r="U10" s="6" t="s">
        <v>670</v>
      </c>
      <c r="V10" s="6" t="s">
        <v>671</v>
      </c>
      <c r="W10" s="6" t="s">
        <v>233</v>
      </c>
      <c r="X10" s="6" t="s">
        <v>672</v>
      </c>
      <c r="Y10" s="6" t="s">
        <v>673</v>
      </c>
      <c r="Z10" s="6" t="s">
        <v>254</v>
      </c>
      <c r="AA10" s="6"/>
      <c r="AB10" s="6" t="s">
        <v>737</v>
      </c>
      <c r="AC10" s="6"/>
      <c r="AD10" s="6"/>
      <c r="AE10" s="7">
        <v>46147</v>
      </c>
      <c r="AF10" s="7">
        <v>46148</v>
      </c>
      <c r="AG10" s="6" t="s">
        <v>738</v>
      </c>
      <c r="AH10" s="3" t="s">
        <v>377</v>
      </c>
      <c r="AI10" s="3" t="s">
        <v>739</v>
      </c>
      <c r="AJ10" s="3" t="s">
        <v>721</v>
      </c>
      <c r="AL10" s="37" t="s">
        <v>70</v>
      </c>
      <c r="AM10" s="37" t="s">
        <v>70</v>
      </c>
    </row>
    <row r="11" spans="1:39" ht="45.75" customHeight="1" x14ac:dyDescent="0.35">
      <c r="A11" s="8">
        <v>10</v>
      </c>
      <c r="B11" s="8" t="s">
        <v>740</v>
      </c>
      <c r="C11" s="6" t="s">
        <v>741</v>
      </c>
      <c r="D11" s="6" t="s">
        <v>742</v>
      </c>
      <c r="E11" s="6" t="s">
        <v>743</v>
      </c>
      <c r="F11" s="6" t="s">
        <v>744</v>
      </c>
      <c r="G11" s="6" t="s">
        <v>1555</v>
      </c>
      <c r="H11" s="6" t="s">
        <v>1551</v>
      </c>
      <c r="I11" s="6" t="s">
        <v>1558</v>
      </c>
      <c r="J11" s="6" t="s">
        <v>666</v>
      </c>
      <c r="K11" s="6" t="s">
        <v>366</v>
      </c>
      <c r="L11" s="6" t="s">
        <v>68</v>
      </c>
      <c r="M11" s="6" t="s">
        <v>68</v>
      </c>
      <c r="N11" s="28" t="s">
        <v>68</v>
      </c>
      <c r="O11" s="6" t="s">
        <v>69</v>
      </c>
      <c r="P11" s="7">
        <v>46147</v>
      </c>
      <c r="Q11" s="6" t="s">
        <v>267</v>
      </c>
      <c r="R11" s="6" t="s">
        <v>681</v>
      </c>
      <c r="S11" s="6" t="s">
        <v>668</v>
      </c>
      <c r="T11" s="6" t="s">
        <v>669</v>
      </c>
      <c r="U11" s="6" t="s">
        <v>670</v>
      </c>
      <c r="V11" s="6" t="s">
        <v>671</v>
      </c>
      <c r="W11" s="6" t="s">
        <v>233</v>
      </c>
      <c r="X11" s="6" t="s">
        <v>672</v>
      </c>
      <c r="Y11" s="6" t="s">
        <v>673</v>
      </c>
      <c r="Z11" s="6" t="s">
        <v>254</v>
      </c>
      <c r="AA11" s="6" t="s">
        <v>633</v>
      </c>
      <c r="AB11" s="6" t="s">
        <v>745</v>
      </c>
      <c r="AC11" s="6"/>
      <c r="AD11" s="6"/>
      <c r="AE11" s="7">
        <v>46147</v>
      </c>
      <c r="AF11" s="7">
        <v>46148</v>
      </c>
      <c r="AG11" s="6" t="s">
        <v>746</v>
      </c>
      <c r="AH11" s="3" t="s">
        <v>747</v>
      </c>
      <c r="AI11" s="3" t="s">
        <v>748</v>
      </c>
      <c r="AJ11" s="3" t="s">
        <v>684</v>
      </c>
      <c r="AL11" s="37" t="s">
        <v>70</v>
      </c>
      <c r="AM11" s="37" t="s">
        <v>70</v>
      </c>
    </row>
    <row r="12" spans="1:39" ht="23.25" customHeight="1" x14ac:dyDescent="0.35">
      <c r="A12" s="8">
        <v>11</v>
      </c>
      <c r="B12" s="8" t="s">
        <v>749</v>
      </c>
      <c r="C12" s="6" t="s">
        <v>750</v>
      </c>
      <c r="D12" s="6" t="s">
        <v>750</v>
      </c>
      <c r="E12" s="6" t="s">
        <v>751</v>
      </c>
      <c r="F12" s="6" t="s">
        <v>752</v>
      </c>
      <c r="G12" s="6" t="s">
        <v>1555</v>
      </c>
      <c r="H12" s="6" t="s">
        <v>1554</v>
      </c>
      <c r="I12" s="6"/>
      <c r="J12" s="6" t="s">
        <v>666</v>
      </c>
      <c r="K12" s="6" t="s">
        <v>366</v>
      </c>
      <c r="L12" s="6" t="s">
        <v>68</v>
      </c>
      <c r="M12" s="6" t="s">
        <v>93</v>
      </c>
      <c r="N12" s="28" t="s">
        <v>68</v>
      </c>
      <c r="O12" s="6" t="s">
        <v>69</v>
      </c>
      <c r="P12" s="7">
        <v>46147</v>
      </c>
      <c r="Q12" s="6" t="s">
        <v>267</v>
      </c>
      <c r="R12" s="6" t="s">
        <v>721</v>
      </c>
      <c r="S12" s="6" t="s">
        <v>668</v>
      </c>
      <c r="T12" s="6" t="s">
        <v>669</v>
      </c>
      <c r="U12" s="6" t="s">
        <v>670</v>
      </c>
      <c r="V12" s="6" t="s">
        <v>671</v>
      </c>
      <c r="W12" s="6" t="s">
        <v>233</v>
      </c>
      <c r="X12" s="6" t="s">
        <v>672</v>
      </c>
      <c r="Y12" s="6" t="s">
        <v>673</v>
      </c>
      <c r="Z12" s="6" t="s">
        <v>254</v>
      </c>
      <c r="AA12" s="6"/>
      <c r="AB12" s="6" t="s">
        <v>753</v>
      </c>
      <c r="AC12" s="6"/>
      <c r="AD12" s="6"/>
      <c r="AE12" s="7">
        <v>46147</v>
      </c>
      <c r="AF12" s="7">
        <v>46148</v>
      </c>
      <c r="AG12" s="6" t="s">
        <v>754</v>
      </c>
      <c r="AH12" s="3" t="s">
        <v>755</v>
      </c>
      <c r="AI12" s="3" t="s">
        <v>756</v>
      </c>
      <c r="AJ12" s="3" t="s">
        <v>721</v>
      </c>
      <c r="AL12" s="37" t="s">
        <v>70</v>
      </c>
      <c r="AM12" s="37" t="s">
        <v>70</v>
      </c>
    </row>
    <row r="13" spans="1:39" ht="34.5" customHeight="1" x14ac:dyDescent="0.35">
      <c r="A13" s="8">
        <v>12</v>
      </c>
      <c r="B13" s="8" t="s">
        <v>757</v>
      </c>
      <c r="C13" s="6" t="s">
        <v>758</v>
      </c>
      <c r="D13" s="6" t="s">
        <v>758</v>
      </c>
      <c r="E13" s="6" t="s">
        <v>759</v>
      </c>
      <c r="F13" s="6" t="s">
        <v>760</v>
      </c>
      <c r="G13" s="6" t="s">
        <v>1561</v>
      </c>
      <c r="H13" s="6" t="s">
        <v>1551</v>
      </c>
      <c r="I13" s="6" t="s">
        <v>1553</v>
      </c>
      <c r="J13" s="6" t="s">
        <v>666</v>
      </c>
      <c r="K13" s="6" t="s">
        <v>366</v>
      </c>
      <c r="L13" s="6" t="s">
        <v>68</v>
      </c>
      <c r="M13" s="6" t="s">
        <v>68</v>
      </c>
      <c r="N13" s="28" t="s">
        <v>68</v>
      </c>
      <c r="O13" s="6" t="s">
        <v>69</v>
      </c>
      <c r="P13" s="7">
        <v>46147</v>
      </c>
      <c r="Q13" s="6" t="s">
        <v>286</v>
      </c>
      <c r="R13" s="6" t="s">
        <v>667</v>
      </c>
      <c r="S13" s="6" t="s">
        <v>668</v>
      </c>
      <c r="T13" s="6" t="s">
        <v>669</v>
      </c>
      <c r="U13" s="6" t="s">
        <v>670</v>
      </c>
      <c r="V13" s="6" t="s">
        <v>671</v>
      </c>
      <c r="W13" s="6" t="s">
        <v>233</v>
      </c>
      <c r="X13" s="6" t="s">
        <v>672</v>
      </c>
      <c r="Y13" s="6" t="s">
        <v>673</v>
      </c>
      <c r="Z13" s="6" t="s">
        <v>292</v>
      </c>
      <c r="AA13" s="6"/>
      <c r="AB13" s="6" t="s">
        <v>761</v>
      </c>
      <c r="AC13" s="6"/>
      <c r="AD13" s="6"/>
      <c r="AE13" s="7">
        <v>46147</v>
      </c>
      <c r="AF13" s="7">
        <v>46148</v>
      </c>
      <c r="AG13" s="6" t="s">
        <v>762</v>
      </c>
      <c r="AH13" s="3" t="s">
        <v>106</v>
      </c>
      <c r="AI13" s="3" t="s">
        <v>763</v>
      </c>
      <c r="AJ13" s="3" t="s">
        <v>667</v>
      </c>
      <c r="AL13" s="37" t="s">
        <v>70</v>
      </c>
      <c r="AM13" s="37" t="s">
        <v>70</v>
      </c>
    </row>
    <row r="14" spans="1:39" ht="23.25" customHeight="1" x14ac:dyDescent="0.35">
      <c r="A14" s="8">
        <v>13</v>
      </c>
      <c r="B14" s="8" t="s">
        <v>764</v>
      </c>
      <c r="C14" s="6" t="s">
        <v>765</v>
      </c>
      <c r="D14" s="6" t="s">
        <v>765</v>
      </c>
      <c r="E14" s="6" t="s">
        <v>766</v>
      </c>
      <c r="F14" s="6" t="s">
        <v>767</v>
      </c>
      <c r="G14" s="6" t="s">
        <v>1555</v>
      </c>
      <c r="H14" s="6" t="s">
        <v>1551</v>
      </c>
      <c r="I14" s="6" t="s">
        <v>1553</v>
      </c>
      <c r="J14" s="6" t="s">
        <v>666</v>
      </c>
      <c r="K14" s="6" t="s">
        <v>366</v>
      </c>
      <c r="L14" s="6" t="s">
        <v>68</v>
      </c>
      <c r="M14" s="6" t="s">
        <v>68</v>
      </c>
      <c r="N14" s="28" t="s">
        <v>68</v>
      </c>
      <c r="O14" s="6" t="s">
        <v>69</v>
      </c>
      <c r="P14" s="7">
        <v>46147</v>
      </c>
      <c r="Q14" s="6" t="s">
        <v>286</v>
      </c>
      <c r="R14" s="6" t="s">
        <v>721</v>
      </c>
      <c r="S14" s="6" t="s">
        <v>668</v>
      </c>
      <c r="T14" s="6" t="s">
        <v>669</v>
      </c>
      <c r="U14" s="6" t="s">
        <v>670</v>
      </c>
      <c r="V14" s="6" t="s">
        <v>671</v>
      </c>
      <c r="W14" s="6" t="s">
        <v>233</v>
      </c>
      <c r="X14" s="6" t="s">
        <v>672</v>
      </c>
      <c r="Y14" s="6" t="s">
        <v>673</v>
      </c>
      <c r="Z14" s="6" t="s">
        <v>292</v>
      </c>
      <c r="AA14" s="6"/>
      <c r="AB14" s="6" t="s">
        <v>768</v>
      </c>
      <c r="AC14" s="6"/>
      <c r="AD14" s="6"/>
      <c r="AE14" s="7">
        <v>46147</v>
      </c>
      <c r="AF14" s="7">
        <v>46148</v>
      </c>
      <c r="AG14" s="6" t="s">
        <v>769</v>
      </c>
      <c r="AH14" s="3" t="s">
        <v>377</v>
      </c>
      <c r="AI14" s="3" t="s">
        <v>770</v>
      </c>
      <c r="AJ14" s="3" t="s">
        <v>721</v>
      </c>
      <c r="AL14" s="37" t="s">
        <v>70</v>
      </c>
      <c r="AM14" s="37" t="s">
        <v>70</v>
      </c>
    </row>
    <row r="15" spans="1:39" ht="23.25" customHeight="1" x14ac:dyDescent="0.35">
      <c r="A15" s="8">
        <v>14</v>
      </c>
      <c r="B15" s="8" t="s">
        <v>771</v>
      </c>
      <c r="C15" s="6" t="s">
        <v>772</v>
      </c>
      <c r="D15" s="6" t="s">
        <v>773</v>
      </c>
      <c r="E15" s="6" t="s">
        <v>774</v>
      </c>
      <c r="F15" s="6" t="s">
        <v>775</v>
      </c>
      <c r="G15" s="6" t="s">
        <v>1562</v>
      </c>
      <c r="H15" s="6" t="s">
        <v>1551</v>
      </c>
      <c r="I15" s="6" t="s">
        <v>1454</v>
      </c>
      <c r="J15" s="6" t="s">
        <v>666</v>
      </c>
      <c r="K15" s="6" t="s">
        <v>366</v>
      </c>
      <c r="L15" s="6" t="s">
        <v>93</v>
      </c>
      <c r="M15" s="6" t="s">
        <v>93</v>
      </c>
      <c r="N15" s="29" t="s">
        <v>93</v>
      </c>
      <c r="O15" s="6" t="s">
        <v>69</v>
      </c>
      <c r="P15" s="7">
        <v>46147</v>
      </c>
      <c r="Q15" s="6" t="s">
        <v>286</v>
      </c>
      <c r="R15" s="6" t="s">
        <v>681</v>
      </c>
      <c r="S15" s="6" t="s">
        <v>668</v>
      </c>
      <c r="T15" s="6" t="s">
        <v>669</v>
      </c>
      <c r="U15" s="6" t="s">
        <v>670</v>
      </c>
      <c r="V15" s="6" t="s">
        <v>671</v>
      </c>
      <c r="W15" s="6" t="s">
        <v>233</v>
      </c>
      <c r="X15" s="6" t="s">
        <v>672</v>
      </c>
      <c r="Y15" s="6" t="s">
        <v>673</v>
      </c>
      <c r="Z15" s="6" t="s">
        <v>292</v>
      </c>
      <c r="AA15" s="6" t="s">
        <v>776</v>
      </c>
      <c r="AB15" s="6" t="s">
        <v>777</v>
      </c>
      <c r="AC15" s="6"/>
      <c r="AD15" s="6"/>
      <c r="AE15" s="7">
        <v>46147</v>
      </c>
      <c r="AF15" s="7">
        <v>46148</v>
      </c>
      <c r="AG15" s="6" t="s">
        <v>778</v>
      </c>
      <c r="AH15" s="3" t="s">
        <v>747</v>
      </c>
      <c r="AI15" s="3" t="s">
        <v>779</v>
      </c>
      <c r="AJ15" s="3" t="s">
        <v>684</v>
      </c>
      <c r="AL15" s="37" t="s">
        <v>70</v>
      </c>
      <c r="AM15" s="37" t="s">
        <v>70</v>
      </c>
    </row>
    <row r="16" spans="1:39" ht="34.5" customHeight="1" x14ac:dyDescent="0.35">
      <c r="A16" s="8">
        <v>15</v>
      </c>
      <c r="B16" s="8" t="s">
        <v>780</v>
      </c>
      <c r="C16" s="6" t="s">
        <v>781</v>
      </c>
      <c r="D16" s="6" t="s">
        <v>782</v>
      </c>
      <c r="E16" s="6" t="s">
        <v>783</v>
      </c>
      <c r="F16" s="6" t="s">
        <v>784</v>
      </c>
      <c r="G16" s="6" t="s">
        <v>1563</v>
      </c>
      <c r="H16" s="6" t="s">
        <v>1551</v>
      </c>
      <c r="I16" s="6" t="s">
        <v>1552</v>
      </c>
      <c r="J16" s="6" t="s">
        <v>666</v>
      </c>
      <c r="K16" s="6" t="s">
        <v>366</v>
      </c>
      <c r="L16" s="6" t="s">
        <v>68</v>
      </c>
      <c r="M16" s="6" t="s">
        <v>68</v>
      </c>
      <c r="N16" s="28" t="s">
        <v>68</v>
      </c>
      <c r="O16" s="6" t="s">
        <v>69</v>
      </c>
      <c r="P16" s="7">
        <v>46147</v>
      </c>
      <c r="Q16" s="6" t="s">
        <v>302</v>
      </c>
      <c r="R16" s="6" t="s">
        <v>667</v>
      </c>
      <c r="S16" s="6" t="s">
        <v>668</v>
      </c>
      <c r="T16" s="6" t="s">
        <v>669</v>
      </c>
      <c r="U16" s="6" t="s">
        <v>670</v>
      </c>
      <c r="V16" s="6" t="s">
        <v>671</v>
      </c>
      <c r="W16" s="6" t="s">
        <v>233</v>
      </c>
      <c r="X16" s="6" t="s">
        <v>672</v>
      </c>
      <c r="Y16" s="6" t="s">
        <v>673</v>
      </c>
      <c r="Z16" s="6" t="s">
        <v>309</v>
      </c>
      <c r="AA16" s="6"/>
      <c r="AB16" s="6" t="s">
        <v>785</v>
      </c>
      <c r="AC16" s="6"/>
      <c r="AD16" s="6"/>
      <c r="AE16" s="7">
        <v>46147</v>
      </c>
      <c r="AF16" s="7">
        <v>46148</v>
      </c>
      <c r="AG16" s="6" t="s">
        <v>786</v>
      </c>
      <c r="AH16" s="3" t="s">
        <v>354</v>
      </c>
      <c r="AI16" s="3" t="s">
        <v>787</v>
      </c>
      <c r="AJ16" s="3" t="s">
        <v>667</v>
      </c>
      <c r="AL16" s="37" t="s">
        <v>70</v>
      </c>
      <c r="AM16" s="37" t="s">
        <v>70</v>
      </c>
    </row>
    <row r="17" spans="1:39" ht="23.25" customHeight="1" x14ac:dyDescent="0.35">
      <c r="A17" s="8">
        <v>16</v>
      </c>
      <c r="B17" s="8" t="s">
        <v>788</v>
      </c>
      <c r="C17" s="6" t="s">
        <v>789</v>
      </c>
      <c r="D17" s="6" t="s">
        <v>790</v>
      </c>
      <c r="E17" s="6" t="s">
        <v>791</v>
      </c>
      <c r="F17" s="6" t="s">
        <v>792</v>
      </c>
      <c r="G17" s="6" t="s">
        <v>1555</v>
      </c>
      <c r="H17" s="6" t="s">
        <v>1551</v>
      </c>
      <c r="I17" s="6" t="s">
        <v>1552</v>
      </c>
      <c r="J17" s="6" t="s">
        <v>666</v>
      </c>
      <c r="K17" s="6" t="s">
        <v>366</v>
      </c>
      <c r="L17" s="6" t="s">
        <v>68</v>
      </c>
      <c r="M17" s="6" t="s">
        <v>93</v>
      </c>
      <c r="N17" s="28" t="s">
        <v>68</v>
      </c>
      <c r="O17" s="6" t="s">
        <v>69</v>
      </c>
      <c r="P17" s="7">
        <v>46147</v>
      </c>
      <c r="Q17" s="6" t="s">
        <v>302</v>
      </c>
      <c r="R17" s="6" t="s">
        <v>681</v>
      </c>
      <c r="S17" s="6" t="s">
        <v>668</v>
      </c>
      <c r="T17" s="6" t="s">
        <v>669</v>
      </c>
      <c r="U17" s="6" t="s">
        <v>670</v>
      </c>
      <c r="V17" s="6" t="s">
        <v>671</v>
      </c>
      <c r="W17" s="6" t="s">
        <v>233</v>
      </c>
      <c r="X17" s="6" t="s">
        <v>672</v>
      </c>
      <c r="Y17" s="6" t="s">
        <v>673</v>
      </c>
      <c r="Z17" s="6" t="s">
        <v>595</v>
      </c>
      <c r="AA17" s="6" t="s">
        <v>793</v>
      </c>
      <c r="AB17" s="6" t="s">
        <v>794</v>
      </c>
      <c r="AC17" s="6"/>
      <c r="AD17" s="6"/>
      <c r="AE17" s="7">
        <v>46147</v>
      </c>
      <c r="AF17" s="7">
        <v>46148</v>
      </c>
      <c r="AG17" s="6" t="s">
        <v>795</v>
      </c>
      <c r="AH17" s="3" t="s">
        <v>65</v>
      </c>
      <c r="AI17" s="3" t="s">
        <v>796</v>
      </c>
      <c r="AJ17" s="3" t="s">
        <v>684</v>
      </c>
      <c r="AL17" s="37" t="s">
        <v>70</v>
      </c>
      <c r="AM17" s="37" t="s">
        <v>70</v>
      </c>
    </row>
    <row r="18" spans="1:39" ht="23.25" customHeight="1" x14ac:dyDescent="0.35">
      <c r="A18" s="8">
        <v>17</v>
      </c>
      <c r="B18" s="8" t="s">
        <v>797</v>
      </c>
      <c r="C18" s="6" t="s">
        <v>798</v>
      </c>
      <c r="D18" s="6" t="s">
        <v>798</v>
      </c>
      <c r="E18" s="6" t="s">
        <v>799</v>
      </c>
      <c r="F18" s="6" t="s">
        <v>799</v>
      </c>
      <c r="G18" s="6"/>
      <c r="H18" s="6" t="s">
        <v>1554</v>
      </c>
      <c r="I18" s="6"/>
      <c r="J18" s="6" t="s">
        <v>666</v>
      </c>
      <c r="K18" s="6" t="s">
        <v>366</v>
      </c>
      <c r="L18" s="6" t="s">
        <v>68</v>
      </c>
      <c r="M18" s="6" t="s">
        <v>93</v>
      </c>
      <c r="N18" s="28" t="s">
        <v>68</v>
      </c>
      <c r="O18" s="6" t="s">
        <v>69</v>
      </c>
      <c r="P18" s="7">
        <v>46147</v>
      </c>
      <c r="Q18" s="6" t="s">
        <v>302</v>
      </c>
      <c r="R18" s="6" t="s">
        <v>721</v>
      </c>
      <c r="S18" s="6" t="s">
        <v>668</v>
      </c>
      <c r="T18" s="6" t="s">
        <v>669</v>
      </c>
      <c r="U18" s="6" t="s">
        <v>670</v>
      </c>
      <c r="V18" s="6" t="s">
        <v>671</v>
      </c>
      <c r="W18" s="6" t="s">
        <v>233</v>
      </c>
      <c r="X18" s="6" t="s">
        <v>672</v>
      </c>
      <c r="Y18" s="6" t="s">
        <v>673</v>
      </c>
      <c r="Z18" s="6" t="s">
        <v>309</v>
      </c>
      <c r="AA18" s="6"/>
      <c r="AB18" s="6" t="s">
        <v>800</v>
      </c>
      <c r="AC18" s="6"/>
      <c r="AD18" s="6"/>
      <c r="AE18" s="7">
        <v>46147</v>
      </c>
      <c r="AF18" s="7">
        <v>46148</v>
      </c>
      <c r="AG18" s="6" t="s">
        <v>801</v>
      </c>
      <c r="AH18" s="3" t="s">
        <v>65</v>
      </c>
      <c r="AI18" s="3" t="s">
        <v>802</v>
      </c>
      <c r="AJ18" s="3" t="s">
        <v>721</v>
      </c>
      <c r="AL18" s="37" t="s">
        <v>70</v>
      </c>
      <c r="AM18" s="37" t="s">
        <v>70</v>
      </c>
    </row>
    <row r="19" spans="1:39" ht="34.5" customHeight="1" x14ac:dyDescent="0.35">
      <c r="A19" s="8">
        <v>18</v>
      </c>
      <c r="B19" s="8" t="s">
        <v>803</v>
      </c>
      <c r="C19" s="6" t="s">
        <v>804</v>
      </c>
      <c r="D19" s="6" t="s">
        <v>804</v>
      </c>
      <c r="E19" s="6" t="s">
        <v>805</v>
      </c>
      <c r="F19" s="6" t="s">
        <v>806</v>
      </c>
      <c r="G19" s="6" t="s">
        <v>1564</v>
      </c>
      <c r="H19" s="6" t="s">
        <v>1551</v>
      </c>
      <c r="I19" s="6" t="s">
        <v>1565</v>
      </c>
      <c r="J19" s="6" t="s">
        <v>666</v>
      </c>
      <c r="K19" s="6" t="s">
        <v>366</v>
      </c>
      <c r="L19" s="6" t="s">
        <v>68</v>
      </c>
      <c r="M19" s="6" t="s">
        <v>93</v>
      </c>
      <c r="N19" s="28" t="s">
        <v>68</v>
      </c>
      <c r="O19" s="6" t="s">
        <v>69</v>
      </c>
      <c r="P19" s="7">
        <v>46147</v>
      </c>
      <c r="Q19" s="6" t="s">
        <v>322</v>
      </c>
      <c r="R19" s="6" t="s">
        <v>667</v>
      </c>
      <c r="S19" s="6" t="s">
        <v>668</v>
      </c>
      <c r="T19" s="6" t="s">
        <v>669</v>
      </c>
      <c r="U19" s="6" t="s">
        <v>670</v>
      </c>
      <c r="V19" s="6" t="s">
        <v>671</v>
      </c>
      <c r="W19" s="6" t="s">
        <v>233</v>
      </c>
      <c r="X19" s="6" t="s">
        <v>672</v>
      </c>
      <c r="Y19" s="6" t="s">
        <v>673</v>
      </c>
      <c r="Z19" s="6" t="s">
        <v>309</v>
      </c>
      <c r="AA19" s="6"/>
      <c r="AB19" s="6" t="s">
        <v>807</v>
      </c>
      <c r="AC19" s="6"/>
      <c r="AD19" s="6"/>
      <c r="AE19" s="7">
        <v>46147</v>
      </c>
      <c r="AF19" s="7">
        <v>46148</v>
      </c>
      <c r="AG19" s="6" t="s">
        <v>808</v>
      </c>
      <c r="AH19" s="3" t="s">
        <v>65</v>
      </c>
      <c r="AI19" s="3" t="s">
        <v>809</v>
      </c>
      <c r="AJ19" s="3" t="s">
        <v>667</v>
      </c>
      <c r="AL19" s="37" t="s">
        <v>70</v>
      </c>
      <c r="AM19" s="37" t="s">
        <v>70</v>
      </c>
    </row>
    <row r="20" spans="1:39" ht="23.25" customHeight="1" x14ac:dyDescent="0.35">
      <c r="A20" s="8">
        <v>19</v>
      </c>
      <c r="B20" s="8" t="s">
        <v>810</v>
      </c>
      <c r="C20" s="6" t="s">
        <v>811</v>
      </c>
      <c r="D20" s="6" t="s">
        <v>811</v>
      </c>
      <c r="E20" s="6" t="s">
        <v>812</v>
      </c>
      <c r="F20" s="6" t="s">
        <v>813</v>
      </c>
      <c r="G20" s="6"/>
      <c r="H20" s="6"/>
      <c r="I20" s="6"/>
      <c r="J20" s="6" t="s">
        <v>666</v>
      </c>
      <c r="K20" s="6" t="s">
        <v>366</v>
      </c>
      <c r="L20" s="6" t="s">
        <v>68</v>
      </c>
      <c r="M20" s="6" t="s">
        <v>68</v>
      </c>
      <c r="N20" s="28" t="s">
        <v>68</v>
      </c>
      <c r="O20" s="6" t="s">
        <v>69</v>
      </c>
      <c r="P20" s="7">
        <v>46147</v>
      </c>
      <c r="Q20" s="6" t="s">
        <v>342</v>
      </c>
      <c r="R20" s="6" t="s">
        <v>681</v>
      </c>
      <c r="S20" s="6" t="s">
        <v>668</v>
      </c>
      <c r="T20" s="6" t="s">
        <v>669</v>
      </c>
      <c r="U20" s="6" t="s">
        <v>670</v>
      </c>
      <c r="V20" s="6" t="s">
        <v>671</v>
      </c>
      <c r="W20" s="6" t="s">
        <v>233</v>
      </c>
      <c r="X20" s="6" t="s">
        <v>672</v>
      </c>
      <c r="Y20" s="6" t="s">
        <v>673</v>
      </c>
      <c r="Z20" s="6" t="s">
        <v>373</v>
      </c>
      <c r="AA20" s="6" t="s">
        <v>642</v>
      </c>
      <c r="AB20" s="6" t="s">
        <v>814</v>
      </c>
      <c r="AC20" s="6"/>
      <c r="AD20" s="6"/>
      <c r="AE20" s="7">
        <v>46147</v>
      </c>
      <c r="AF20" s="7">
        <v>46148</v>
      </c>
      <c r="AG20" s="6" t="s">
        <v>815</v>
      </c>
      <c r="AH20" s="3" t="s">
        <v>816</v>
      </c>
      <c r="AI20" s="3" t="s">
        <v>817</v>
      </c>
      <c r="AJ20" s="3" t="s">
        <v>684</v>
      </c>
      <c r="AL20" s="37" t="s">
        <v>70</v>
      </c>
      <c r="AM20" s="37" t="s">
        <v>70</v>
      </c>
    </row>
    <row r="21" spans="1:39" ht="23.25" customHeight="1" x14ac:dyDescent="0.35">
      <c r="A21" s="8">
        <v>20</v>
      </c>
      <c r="B21" s="8" t="s">
        <v>818</v>
      </c>
      <c r="C21" s="6" t="s">
        <v>819</v>
      </c>
      <c r="D21" s="6" t="s">
        <v>819</v>
      </c>
      <c r="E21" s="6" t="s">
        <v>820</v>
      </c>
      <c r="F21" s="6" t="s">
        <v>821</v>
      </c>
      <c r="G21" s="6" t="s">
        <v>1567</v>
      </c>
      <c r="H21" s="6" t="s">
        <v>1554</v>
      </c>
      <c r="I21" s="6"/>
      <c r="J21" s="6" t="s">
        <v>666</v>
      </c>
      <c r="K21" s="6" t="s">
        <v>366</v>
      </c>
      <c r="L21" s="6" t="s">
        <v>68</v>
      </c>
      <c r="M21" s="6" t="s">
        <v>68</v>
      </c>
      <c r="N21" s="28" t="s">
        <v>68</v>
      </c>
      <c r="O21" s="6" t="s">
        <v>69</v>
      </c>
      <c r="P21" s="7">
        <v>46147</v>
      </c>
      <c r="Q21" s="6" t="s">
        <v>342</v>
      </c>
      <c r="R21" s="6" t="s">
        <v>681</v>
      </c>
      <c r="S21" s="6" t="s">
        <v>668</v>
      </c>
      <c r="T21" s="6" t="s">
        <v>669</v>
      </c>
      <c r="U21" s="6" t="s">
        <v>670</v>
      </c>
      <c r="V21" s="6" t="s">
        <v>671</v>
      </c>
      <c r="W21" s="6" t="s">
        <v>233</v>
      </c>
      <c r="X21" s="6" t="s">
        <v>672</v>
      </c>
      <c r="Y21" s="6" t="s">
        <v>673</v>
      </c>
      <c r="Z21" s="6" t="s">
        <v>595</v>
      </c>
      <c r="AA21" s="6" t="s">
        <v>822</v>
      </c>
      <c r="AB21" s="6" t="s">
        <v>823</v>
      </c>
      <c r="AC21" s="6"/>
      <c r="AD21" s="6"/>
      <c r="AE21" s="7">
        <v>46147</v>
      </c>
      <c r="AF21" s="7">
        <v>46148</v>
      </c>
      <c r="AG21" s="6" t="s">
        <v>824</v>
      </c>
      <c r="AH21" s="3" t="s">
        <v>142</v>
      </c>
      <c r="AI21" s="3" t="s">
        <v>825</v>
      </c>
      <c r="AJ21" s="3" t="s">
        <v>684</v>
      </c>
      <c r="AL21" s="37" t="s">
        <v>70</v>
      </c>
      <c r="AM21" s="37" t="s">
        <v>70</v>
      </c>
    </row>
    <row r="22" spans="1:39" ht="23.25" customHeight="1" x14ac:dyDescent="0.35">
      <c r="A22" s="8">
        <v>22</v>
      </c>
      <c r="B22" s="8" t="s">
        <v>826</v>
      </c>
      <c r="C22" s="6" t="s">
        <v>827</v>
      </c>
      <c r="D22" s="6" t="s">
        <v>828</v>
      </c>
      <c r="E22" s="6" t="s">
        <v>829</v>
      </c>
      <c r="F22" s="6" t="s">
        <v>830</v>
      </c>
      <c r="G22" s="6" t="s">
        <v>1555</v>
      </c>
      <c r="H22" s="6" t="s">
        <v>1554</v>
      </c>
      <c r="I22" s="6"/>
      <c r="J22" s="6" t="s">
        <v>666</v>
      </c>
      <c r="K22" s="6" t="s">
        <v>366</v>
      </c>
      <c r="L22" s="6" t="s">
        <v>93</v>
      </c>
      <c r="M22" s="6" t="s">
        <v>93</v>
      </c>
      <c r="N22" s="29" t="s">
        <v>93</v>
      </c>
      <c r="O22" s="6" t="s">
        <v>69</v>
      </c>
      <c r="P22" s="7">
        <v>46147</v>
      </c>
      <c r="Q22" s="6" t="s">
        <v>302</v>
      </c>
      <c r="R22" s="6" t="s">
        <v>721</v>
      </c>
      <c r="S22" s="6" t="s">
        <v>668</v>
      </c>
      <c r="T22" s="6" t="s">
        <v>669</v>
      </c>
      <c r="U22" s="6" t="s">
        <v>670</v>
      </c>
      <c r="V22" s="6" t="s">
        <v>671</v>
      </c>
      <c r="W22" s="6" t="s">
        <v>233</v>
      </c>
      <c r="X22" s="6" t="s">
        <v>672</v>
      </c>
      <c r="Y22" s="6" t="s">
        <v>673</v>
      </c>
      <c r="Z22" s="6" t="s">
        <v>292</v>
      </c>
      <c r="AA22" s="6"/>
      <c r="AB22" s="6" t="s">
        <v>831</v>
      </c>
      <c r="AC22" s="6"/>
      <c r="AD22" s="6"/>
      <c r="AE22" s="7">
        <v>46147</v>
      </c>
      <c r="AF22" s="7">
        <v>46148</v>
      </c>
      <c r="AG22" s="6" t="s">
        <v>832</v>
      </c>
      <c r="AH22" s="3" t="s">
        <v>377</v>
      </c>
      <c r="AI22" s="3" t="s">
        <v>833</v>
      </c>
      <c r="AJ22" s="3" t="s">
        <v>721</v>
      </c>
      <c r="AL22" s="37" t="s">
        <v>70</v>
      </c>
      <c r="AM22" s="37" t="s">
        <v>70</v>
      </c>
    </row>
    <row r="23" spans="1:39" ht="23.25" customHeight="1" x14ac:dyDescent="0.35">
      <c r="A23" s="8">
        <v>23</v>
      </c>
      <c r="B23" s="8" t="s">
        <v>834</v>
      </c>
      <c r="C23" s="6" t="s">
        <v>835</v>
      </c>
      <c r="D23" s="6" t="s">
        <v>836</v>
      </c>
      <c r="E23" s="6" t="s">
        <v>837</v>
      </c>
      <c r="F23" s="6" t="s">
        <v>838</v>
      </c>
      <c r="G23" s="6" t="s">
        <v>1555</v>
      </c>
      <c r="H23" s="6" t="s">
        <v>1554</v>
      </c>
      <c r="I23" s="6" t="s">
        <v>1566</v>
      </c>
      <c r="J23" s="6" t="s">
        <v>666</v>
      </c>
      <c r="K23" s="6" t="s">
        <v>366</v>
      </c>
      <c r="L23" s="6" t="s">
        <v>93</v>
      </c>
      <c r="M23" s="6" t="s">
        <v>93</v>
      </c>
      <c r="N23" s="29" t="s">
        <v>93</v>
      </c>
      <c r="O23" s="6" t="s">
        <v>69</v>
      </c>
      <c r="P23" s="7">
        <v>46147</v>
      </c>
      <c r="Q23" s="6" t="s">
        <v>302</v>
      </c>
      <c r="R23" s="6" t="s">
        <v>721</v>
      </c>
      <c r="S23" s="6" t="s">
        <v>668</v>
      </c>
      <c r="T23" s="6" t="s">
        <v>669</v>
      </c>
      <c r="U23" s="6" t="s">
        <v>670</v>
      </c>
      <c r="V23" s="6" t="s">
        <v>671</v>
      </c>
      <c r="W23" s="6" t="s">
        <v>233</v>
      </c>
      <c r="X23" s="6" t="s">
        <v>672</v>
      </c>
      <c r="Y23" s="6" t="s">
        <v>673</v>
      </c>
      <c r="Z23" s="6" t="s">
        <v>292</v>
      </c>
      <c r="AA23" s="6"/>
      <c r="AB23" s="6" t="s">
        <v>839</v>
      </c>
      <c r="AC23" s="6"/>
      <c r="AD23" s="6"/>
      <c r="AE23" s="7">
        <v>46147</v>
      </c>
      <c r="AF23" s="7">
        <v>46148</v>
      </c>
      <c r="AG23" s="6" t="s">
        <v>840</v>
      </c>
      <c r="AH23" s="3" t="s">
        <v>377</v>
      </c>
      <c r="AI23" s="3" t="s">
        <v>841</v>
      </c>
      <c r="AJ23" s="3" t="s">
        <v>721</v>
      </c>
      <c r="AL23" s="37" t="s">
        <v>70</v>
      </c>
      <c r="AM23" s="37" t="s">
        <v>70</v>
      </c>
    </row>
    <row r="24" spans="1:39" ht="23.25" customHeight="1" x14ac:dyDescent="0.35">
      <c r="A24" s="8">
        <v>24</v>
      </c>
      <c r="B24" s="8" t="s">
        <v>842</v>
      </c>
      <c r="C24" s="6" t="s">
        <v>843</v>
      </c>
      <c r="D24" s="6" t="s">
        <v>844</v>
      </c>
      <c r="E24" s="6" t="s">
        <v>845</v>
      </c>
      <c r="F24" s="6" t="s">
        <v>846</v>
      </c>
      <c r="G24" s="6" t="s">
        <v>1555</v>
      </c>
      <c r="H24" s="6" t="s">
        <v>1554</v>
      </c>
      <c r="I24" s="6"/>
      <c r="J24" s="6" t="s">
        <v>666</v>
      </c>
      <c r="K24" s="6" t="s">
        <v>366</v>
      </c>
      <c r="L24" s="6" t="s">
        <v>93</v>
      </c>
      <c r="M24" s="6" t="s">
        <v>93</v>
      </c>
      <c r="N24" s="29" t="s">
        <v>93</v>
      </c>
      <c r="O24" s="6" t="s">
        <v>69</v>
      </c>
      <c r="P24" s="7">
        <v>46147</v>
      </c>
      <c r="Q24" s="6" t="s">
        <v>302</v>
      </c>
      <c r="R24" s="6" t="s">
        <v>721</v>
      </c>
      <c r="S24" s="6" t="s">
        <v>668</v>
      </c>
      <c r="T24" s="6" t="s">
        <v>669</v>
      </c>
      <c r="U24" s="6" t="s">
        <v>670</v>
      </c>
      <c r="V24" s="6" t="s">
        <v>671</v>
      </c>
      <c r="W24" s="6" t="s">
        <v>233</v>
      </c>
      <c r="X24" s="6" t="s">
        <v>672</v>
      </c>
      <c r="Y24" s="6" t="s">
        <v>673</v>
      </c>
      <c r="Z24" s="6" t="s">
        <v>292</v>
      </c>
      <c r="AA24" s="6"/>
      <c r="AB24" s="6" t="s">
        <v>847</v>
      </c>
      <c r="AC24" s="6"/>
      <c r="AD24" s="6"/>
      <c r="AE24" s="7">
        <v>46147</v>
      </c>
      <c r="AF24" s="7">
        <v>46148</v>
      </c>
      <c r="AG24" s="6" t="s">
        <v>848</v>
      </c>
      <c r="AH24" s="3" t="s">
        <v>142</v>
      </c>
      <c r="AI24" s="3" t="s">
        <v>849</v>
      </c>
      <c r="AJ24" s="3" t="s">
        <v>721</v>
      </c>
      <c r="AL24" s="37" t="s">
        <v>70</v>
      </c>
      <c r="AM24" s="37" t="s">
        <v>70</v>
      </c>
    </row>
    <row r="25" spans="1:39" ht="35" customHeight="1" x14ac:dyDescent="0.35">
      <c r="A25" s="3">
        <v>24</v>
      </c>
      <c r="B25" s="3" t="s">
        <v>701</v>
      </c>
      <c r="C25" s="3" t="s">
        <v>850</v>
      </c>
      <c r="D25" s="3" t="s">
        <v>851</v>
      </c>
      <c r="E25" s="3" t="s">
        <v>852</v>
      </c>
      <c r="F25" s="3" t="s">
        <v>853</v>
      </c>
      <c r="G25" s="3" t="s">
        <v>1555</v>
      </c>
      <c r="H25" s="3" t="s">
        <v>1551</v>
      </c>
      <c r="I25" s="3" t="s">
        <v>1552</v>
      </c>
      <c r="J25" s="3" t="s">
        <v>666</v>
      </c>
      <c r="K25" s="3" t="s">
        <v>366</v>
      </c>
      <c r="L25" s="3" t="s">
        <v>68</v>
      </c>
      <c r="M25" s="3" t="s">
        <v>68</v>
      </c>
      <c r="N25" s="33" t="s">
        <v>68</v>
      </c>
      <c r="O25" s="3" t="s">
        <v>69</v>
      </c>
      <c r="P25" s="3"/>
      <c r="Q25" s="3" t="s">
        <v>247</v>
      </c>
      <c r="R25" s="3" t="s">
        <v>667</v>
      </c>
      <c r="S25" s="3" t="s">
        <v>854</v>
      </c>
      <c r="T25" s="3" t="s">
        <v>855</v>
      </c>
      <c r="U25" s="3" t="s">
        <v>856</v>
      </c>
      <c r="V25" s="3" t="s">
        <v>857</v>
      </c>
      <c r="W25" s="3" t="s">
        <v>233</v>
      </c>
      <c r="X25" s="3" t="s">
        <v>672</v>
      </c>
      <c r="Y25" s="3" t="s">
        <v>673</v>
      </c>
      <c r="Z25" s="3" t="s">
        <v>254</v>
      </c>
      <c r="AA25" s="3"/>
      <c r="AB25" s="3" t="s">
        <v>858</v>
      </c>
      <c r="AC25" s="3"/>
      <c r="AD25" s="3"/>
      <c r="AE25" s="3"/>
      <c r="AF25" s="14">
        <v>46148</v>
      </c>
      <c r="AG25" s="3" t="s">
        <v>859</v>
      </c>
      <c r="AH25" s="3" t="s">
        <v>65</v>
      </c>
      <c r="AI25" s="3" t="s">
        <v>708</v>
      </c>
      <c r="AJ25" s="3" t="s">
        <v>667</v>
      </c>
      <c r="AL25" s="37" t="s">
        <v>70</v>
      </c>
      <c r="AM25" s="37" t="s">
        <v>70</v>
      </c>
    </row>
    <row r="26" spans="1:39" x14ac:dyDescent="0.35">
      <c r="B26" t="s">
        <v>860</v>
      </c>
      <c r="C26" t="s">
        <v>861</v>
      </c>
      <c r="L26" t="s">
        <v>68</v>
      </c>
      <c r="M26" t="s">
        <v>367</v>
      </c>
      <c r="N26" s="34" t="s">
        <v>93</v>
      </c>
      <c r="Q26" t="s">
        <v>482</v>
      </c>
      <c r="AF26" s="32">
        <v>46148</v>
      </c>
      <c r="AG26" t="s">
        <v>862</v>
      </c>
      <c r="AK26" s="16" t="s">
        <v>863</v>
      </c>
      <c r="AL26" s="37" t="s">
        <v>70</v>
      </c>
      <c r="AM26" s="37" t="s">
        <v>70</v>
      </c>
    </row>
    <row r="27" spans="1:39" x14ac:dyDescent="0.35">
      <c r="B27" t="s">
        <v>864</v>
      </c>
      <c r="C27" t="s">
        <v>865</v>
      </c>
      <c r="L27" t="s">
        <v>68</v>
      </c>
      <c r="M27" t="s">
        <v>68</v>
      </c>
      <c r="N27" s="33" t="s">
        <v>68</v>
      </c>
      <c r="Q27" t="s">
        <v>482</v>
      </c>
      <c r="AF27" s="32">
        <v>46148</v>
      </c>
      <c r="AG27" t="s">
        <v>866</v>
      </c>
      <c r="AK27" s="16" t="s">
        <v>863</v>
      </c>
      <c r="AL27" s="37" t="s">
        <v>70</v>
      </c>
      <c r="AM27" s="37" t="s">
        <v>70</v>
      </c>
    </row>
    <row r="28" spans="1:39" x14ac:dyDescent="0.35">
      <c r="B28" t="s">
        <v>867</v>
      </c>
      <c r="C28" t="s">
        <v>868</v>
      </c>
      <c r="L28" t="s">
        <v>68</v>
      </c>
      <c r="M28" t="s">
        <v>367</v>
      </c>
      <c r="N28" s="34" t="s">
        <v>93</v>
      </c>
      <c r="Q28" t="s">
        <v>482</v>
      </c>
      <c r="AF28" s="32">
        <v>46148</v>
      </c>
      <c r="AG28" t="s">
        <v>869</v>
      </c>
      <c r="AK28" s="16" t="s">
        <v>863</v>
      </c>
      <c r="AL28" s="37" t="s">
        <v>70</v>
      </c>
      <c r="AM28" s="37" t="s">
        <v>70</v>
      </c>
    </row>
    <row r="29" spans="1:39" x14ac:dyDescent="0.35">
      <c r="B29" t="s">
        <v>870</v>
      </c>
      <c r="C29" t="s">
        <v>871</v>
      </c>
      <c r="L29" t="s">
        <v>93</v>
      </c>
      <c r="M29" t="s">
        <v>367</v>
      </c>
      <c r="N29" s="35" t="s">
        <v>367</v>
      </c>
      <c r="Q29" t="s">
        <v>482</v>
      </c>
      <c r="AF29" s="32">
        <v>46148</v>
      </c>
      <c r="AG29" t="s">
        <v>872</v>
      </c>
      <c r="AK29" s="16" t="s">
        <v>863</v>
      </c>
      <c r="AL29" s="37" t="s">
        <v>70</v>
      </c>
      <c r="AM29" s="37" t="s">
        <v>70</v>
      </c>
    </row>
    <row r="30" spans="1:39" x14ac:dyDescent="0.35">
      <c r="B30" t="s">
        <v>873</v>
      </c>
      <c r="C30" t="s">
        <v>874</v>
      </c>
      <c r="L30" t="s">
        <v>68</v>
      </c>
      <c r="M30" t="s">
        <v>367</v>
      </c>
      <c r="N30" s="34" t="s">
        <v>93</v>
      </c>
      <c r="Q30" t="s">
        <v>486</v>
      </c>
      <c r="AF30" s="32">
        <v>46148</v>
      </c>
      <c r="AG30" t="s">
        <v>875</v>
      </c>
      <c r="AK30" s="16" t="s">
        <v>863</v>
      </c>
      <c r="AL30" s="37" t="s">
        <v>70</v>
      </c>
      <c r="AM30" s="37" t="s">
        <v>70</v>
      </c>
    </row>
    <row r="31" spans="1:39" x14ac:dyDescent="0.35">
      <c r="B31" t="s">
        <v>876</v>
      </c>
      <c r="C31" t="s">
        <v>877</v>
      </c>
      <c r="L31" t="s">
        <v>68</v>
      </c>
      <c r="M31" t="s">
        <v>68</v>
      </c>
      <c r="N31" s="33" t="s">
        <v>68</v>
      </c>
      <c r="Q31" t="s">
        <v>514</v>
      </c>
      <c r="AF31" s="32">
        <v>46148</v>
      </c>
      <c r="AG31" t="s">
        <v>878</v>
      </c>
      <c r="AK31" s="16" t="s">
        <v>863</v>
      </c>
      <c r="AL31" s="37" t="s">
        <v>70</v>
      </c>
      <c r="AM31" s="37" t="s">
        <v>70</v>
      </c>
    </row>
    <row r="32" spans="1:39" x14ac:dyDescent="0.35">
      <c r="B32" t="s">
        <v>879</v>
      </c>
      <c r="C32" t="s">
        <v>880</v>
      </c>
      <c r="L32" t="s">
        <v>68</v>
      </c>
      <c r="M32" t="s">
        <v>367</v>
      </c>
      <c r="N32" s="34" t="s">
        <v>93</v>
      </c>
      <c r="Q32" t="s">
        <v>489</v>
      </c>
      <c r="AF32" s="32">
        <v>46148</v>
      </c>
      <c r="AG32" t="s">
        <v>881</v>
      </c>
      <c r="AK32" s="16" t="s">
        <v>863</v>
      </c>
      <c r="AL32" s="37" t="s">
        <v>70</v>
      </c>
      <c r="AM32" s="37" t="s">
        <v>70</v>
      </c>
    </row>
    <row r="33" spans="2:39" x14ac:dyDescent="0.35">
      <c r="B33" t="s">
        <v>882</v>
      </c>
      <c r="C33" t="s">
        <v>883</v>
      </c>
      <c r="L33" t="s">
        <v>93</v>
      </c>
      <c r="M33" t="s">
        <v>367</v>
      </c>
      <c r="N33" s="35" t="s">
        <v>367</v>
      </c>
      <c r="Q33" t="s">
        <v>489</v>
      </c>
      <c r="AF33" s="32">
        <v>46148</v>
      </c>
      <c r="AG33" t="s">
        <v>884</v>
      </c>
      <c r="AK33" s="16" t="s">
        <v>863</v>
      </c>
      <c r="AL33" s="37" t="s">
        <v>70</v>
      </c>
      <c r="AM33" s="37" t="s">
        <v>70</v>
      </c>
    </row>
    <row r="34" spans="2:39" x14ac:dyDescent="0.35">
      <c r="B34" t="s">
        <v>885</v>
      </c>
      <c r="C34" t="s">
        <v>886</v>
      </c>
      <c r="L34" t="s">
        <v>68</v>
      </c>
      <c r="M34" t="s">
        <v>367</v>
      </c>
      <c r="N34" s="34" t="s">
        <v>93</v>
      </c>
      <c r="Q34" t="s">
        <v>489</v>
      </c>
      <c r="AF34" s="32">
        <v>46148</v>
      </c>
      <c r="AG34" t="s">
        <v>887</v>
      </c>
      <c r="AK34" s="16" t="s">
        <v>863</v>
      </c>
      <c r="AL34" s="37" t="s">
        <v>70</v>
      </c>
      <c r="AM34" s="37" t="s">
        <v>70</v>
      </c>
    </row>
    <row r="35" spans="2:39" x14ac:dyDescent="0.35">
      <c r="B35" t="s">
        <v>888</v>
      </c>
      <c r="C35" t="s">
        <v>889</v>
      </c>
      <c r="L35" t="s">
        <v>68</v>
      </c>
      <c r="M35" t="s">
        <v>68</v>
      </c>
      <c r="N35" s="33" t="s">
        <v>68</v>
      </c>
      <c r="Q35" t="s">
        <v>489</v>
      </c>
      <c r="AF35" s="32">
        <v>46148</v>
      </c>
      <c r="AG35" t="s">
        <v>890</v>
      </c>
      <c r="AK35" s="17" t="s">
        <v>891</v>
      </c>
      <c r="AL35" s="38" t="s">
        <v>471</v>
      </c>
      <c r="AM35" s="37" t="s">
        <v>70</v>
      </c>
    </row>
    <row r="36" spans="2:39" x14ac:dyDescent="0.35">
      <c r="B36" t="s">
        <v>892</v>
      </c>
      <c r="C36" t="s">
        <v>893</v>
      </c>
      <c r="L36" t="s">
        <v>68</v>
      </c>
      <c r="M36" t="s">
        <v>367</v>
      </c>
      <c r="N36" s="34" t="s">
        <v>93</v>
      </c>
      <c r="Q36" t="s">
        <v>489</v>
      </c>
      <c r="AF36" s="32">
        <v>46148</v>
      </c>
      <c r="AG36" t="s">
        <v>894</v>
      </c>
      <c r="AK36" s="16" t="s">
        <v>863</v>
      </c>
      <c r="AL36" s="37" t="s">
        <v>70</v>
      </c>
      <c r="AM36" s="37" t="s">
        <v>70</v>
      </c>
    </row>
    <row r="37" spans="2:39" x14ac:dyDescent="0.35">
      <c r="B37" t="s">
        <v>895</v>
      </c>
      <c r="C37" t="s">
        <v>896</v>
      </c>
      <c r="L37" t="s">
        <v>93</v>
      </c>
      <c r="M37" t="s">
        <v>367</v>
      </c>
      <c r="N37" s="35" t="s">
        <v>367</v>
      </c>
      <c r="Q37" t="s">
        <v>482</v>
      </c>
      <c r="AF37" s="32">
        <v>46148</v>
      </c>
      <c r="AG37" t="s">
        <v>897</v>
      </c>
      <c r="AK37" s="16" t="s">
        <v>863</v>
      </c>
      <c r="AL37" s="37" t="s">
        <v>70</v>
      </c>
      <c r="AM37" s="37" t="s">
        <v>70</v>
      </c>
    </row>
    <row r="38" spans="2:39" x14ac:dyDescent="0.35">
      <c r="B38" t="s">
        <v>898</v>
      </c>
      <c r="C38" t="s">
        <v>899</v>
      </c>
      <c r="L38" t="s">
        <v>93</v>
      </c>
      <c r="M38" t="s">
        <v>367</v>
      </c>
      <c r="N38" s="35" t="s">
        <v>367</v>
      </c>
      <c r="Q38" t="s">
        <v>504</v>
      </c>
      <c r="AF38" s="32">
        <v>46148</v>
      </c>
      <c r="AG38" t="s">
        <v>900</v>
      </c>
      <c r="AK38" s="16" t="s">
        <v>863</v>
      </c>
      <c r="AL38" s="37" t="s">
        <v>70</v>
      </c>
      <c r="AM38" s="37" t="s">
        <v>70</v>
      </c>
    </row>
    <row r="39" spans="2:39" x14ac:dyDescent="0.35">
      <c r="B39" t="s">
        <v>901</v>
      </c>
      <c r="C39" t="s">
        <v>902</v>
      </c>
      <c r="L39" t="s">
        <v>93</v>
      </c>
      <c r="M39" t="s">
        <v>367</v>
      </c>
      <c r="N39" s="35" t="s">
        <v>367</v>
      </c>
      <c r="Q39" t="s">
        <v>514</v>
      </c>
      <c r="AF39" s="32">
        <v>46148</v>
      </c>
      <c r="AG39" t="s">
        <v>903</v>
      </c>
      <c r="AK39" s="16" t="s">
        <v>904</v>
      </c>
      <c r="AL39" s="37" t="s">
        <v>70</v>
      </c>
      <c r="AM39" s="37" t="s">
        <v>70</v>
      </c>
    </row>
    <row r="40" spans="2:39" x14ac:dyDescent="0.35">
      <c r="B40" t="s">
        <v>905</v>
      </c>
      <c r="C40" t="s">
        <v>906</v>
      </c>
      <c r="L40" t="s">
        <v>68</v>
      </c>
      <c r="M40" t="s">
        <v>68</v>
      </c>
      <c r="N40" s="33" t="s">
        <v>68</v>
      </c>
      <c r="Q40" t="s">
        <v>489</v>
      </c>
      <c r="AF40" s="32">
        <v>46148</v>
      </c>
      <c r="AG40" t="s">
        <v>907</v>
      </c>
      <c r="AK40" s="18" t="s">
        <v>908</v>
      </c>
      <c r="AL40" s="37" t="s">
        <v>70</v>
      </c>
      <c r="AM40" s="38" t="s">
        <v>471</v>
      </c>
    </row>
    <row r="41" spans="2:39" x14ac:dyDescent="0.35">
      <c r="B41" t="s">
        <v>909</v>
      </c>
      <c r="C41" t="s">
        <v>910</v>
      </c>
      <c r="L41" t="s">
        <v>68</v>
      </c>
      <c r="M41" t="s">
        <v>68</v>
      </c>
      <c r="N41" s="33" t="s">
        <v>68</v>
      </c>
      <c r="Q41" t="s">
        <v>489</v>
      </c>
      <c r="AF41" s="32">
        <v>46148</v>
      </c>
      <c r="AG41" t="s">
        <v>911</v>
      </c>
      <c r="AK41" s="17" t="s">
        <v>891</v>
      </c>
      <c r="AL41" s="38" t="s">
        <v>471</v>
      </c>
      <c r="AM41" s="37" t="s">
        <v>70</v>
      </c>
    </row>
    <row r="42" spans="2:39" x14ac:dyDescent="0.35">
      <c r="B42" t="s">
        <v>912</v>
      </c>
      <c r="C42" t="s">
        <v>913</v>
      </c>
      <c r="L42" t="s">
        <v>68</v>
      </c>
      <c r="M42" t="s">
        <v>367</v>
      </c>
      <c r="N42" s="34" t="s">
        <v>93</v>
      </c>
      <c r="Q42" t="s">
        <v>511</v>
      </c>
      <c r="AF42" s="32">
        <v>46148</v>
      </c>
      <c r="AG42" t="s">
        <v>914</v>
      </c>
      <c r="AK42" s="16" t="s">
        <v>863</v>
      </c>
      <c r="AL42" s="37" t="s">
        <v>70</v>
      </c>
      <c r="AM42" s="37" t="s">
        <v>70</v>
      </c>
    </row>
    <row r="43" spans="2:39" x14ac:dyDescent="0.35">
      <c r="B43" t="s">
        <v>915</v>
      </c>
      <c r="C43" t="s">
        <v>916</v>
      </c>
      <c r="L43" t="s">
        <v>68</v>
      </c>
      <c r="M43" t="s">
        <v>367</v>
      </c>
      <c r="N43" s="34" t="s">
        <v>93</v>
      </c>
      <c r="Q43" t="s">
        <v>511</v>
      </c>
      <c r="AF43" s="32">
        <v>46148</v>
      </c>
      <c r="AG43" t="s">
        <v>917</v>
      </c>
      <c r="AK43" s="16" t="s">
        <v>863</v>
      </c>
      <c r="AL43" s="37" t="s">
        <v>70</v>
      </c>
      <c r="AM43" s="37" t="s">
        <v>70</v>
      </c>
    </row>
    <row r="44" spans="2:39" x14ac:dyDescent="0.35">
      <c r="B44" t="s">
        <v>918</v>
      </c>
      <c r="C44" t="s">
        <v>919</v>
      </c>
      <c r="L44" t="s">
        <v>68</v>
      </c>
      <c r="M44" t="s">
        <v>367</v>
      </c>
      <c r="N44" s="34" t="s">
        <v>93</v>
      </c>
      <c r="Q44" t="s">
        <v>493</v>
      </c>
      <c r="AF44" s="32">
        <v>46148</v>
      </c>
      <c r="AG44" t="s">
        <v>920</v>
      </c>
      <c r="AK44" s="16" t="s">
        <v>863</v>
      </c>
      <c r="AL44" s="37" t="s">
        <v>70</v>
      </c>
      <c r="AM44" s="37" t="s">
        <v>70</v>
      </c>
    </row>
    <row r="45" spans="2:39" x14ac:dyDescent="0.35">
      <c r="B45" t="s">
        <v>921</v>
      </c>
      <c r="C45" t="s">
        <v>922</v>
      </c>
      <c r="L45" t="s">
        <v>68</v>
      </c>
      <c r="M45" t="s">
        <v>68</v>
      </c>
      <c r="N45" s="33" t="s">
        <v>68</v>
      </c>
      <c r="Q45" t="s">
        <v>493</v>
      </c>
      <c r="AF45" s="32">
        <v>46148</v>
      </c>
      <c r="AG45" t="s">
        <v>923</v>
      </c>
      <c r="AK45" s="16" t="s">
        <v>904</v>
      </c>
      <c r="AL45" s="37" t="s">
        <v>70</v>
      </c>
      <c r="AM45" s="37" t="s">
        <v>70</v>
      </c>
    </row>
    <row r="46" spans="2:39" x14ac:dyDescent="0.35">
      <c r="B46" t="s">
        <v>924</v>
      </c>
      <c r="C46" t="s">
        <v>925</v>
      </c>
      <c r="L46" t="s">
        <v>68</v>
      </c>
      <c r="M46" t="s">
        <v>367</v>
      </c>
      <c r="N46" s="34" t="s">
        <v>93</v>
      </c>
      <c r="Q46" t="s">
        <v>493</v>
      </c>
      <c r="AF46" s="32">
        <v>46148</v>
      </c>
      <c r="AG46" t="s">
        <v>926</v>
      </c>
      <c r="AK46" s="16" t="s">
        <v>863</v>
      </c>
      <c r="AL46" s="37" t="s">
        <v>70</v>
      </c>
      <c r="AM46" s="37" t="s">
        <v>70</v>
      </c>
    </row>
    <row r="47" spans="2:39" x14ac:dyDescent="0.35">
      <c r="B47" t="s">
        <v>927</v>
      </c>
      <c r="C47" t="s">
        <v>928</v>
      </c>
      <c r="L47" t="s">
        <v>68</v>
      </c>
      <c r="M47" t="s">
        <v>367</v>
      </c>
      <c r="N47" s="34" t="s">
        <v>93</v>
      </c>
      <c r="Q47" t="s">
        <v>493</v>
      </c>
      <c r="AF47" s="32">
        <v>46148</v>
      </c>
      <c r="AG47" t="s">
        <v>929</v>
      </c>
      <c r="AK47" s="16" t="s">
        <v>863</v>
      </c>
      <c r="AL47" s="37" t="s">
        <v>70</v>
      </c>
      <c r="AM47" s="37" t="s">
        <v>70</v>
      </c>
    </row>
    <row r="48" spans="2:39" x14ac:dyDescent="0.35">
      <c r="B48" t="s">
        <v>930</v>
      </c>
      <c r="C48" t="s">
        <v>931</v>
      </c>
      <c r="L48" t="s">
        <v>93</v>
      </c>
      <c r="M48" t="s">
        <v>367</v>
      </c>
      <c r="N48" s="35" t="s">
        <v>367</v>
      </c>
      <c r="Q48" t="s">
        <v>493</v>
      </c>
      <c r="AF48" s="32">
        <v>46148</v>
      </c>
      <c r="AG48" t="s">
        <v>932</v>
      </c>
      <c r="AK48" s="16" t="s">
        <v>863</v>
      </c>
      <c r="AL48" s="37" t="s">
        <v>70</v>
      </c>
      <c r="AM48" s="37" t="s">
        <v>70</v>
      </c>
    </row>
    <row r="49" spans="2:39" x14ac:dyDescent="0.35">
      <c r="B49" t="s">
        <v>933</v>
      </c>
      <c r="C49" t="s">
        <v>934</v>
      </c>
      <c r="L49" t="s">
        <v>93</v>
      </c>
      <c r="M49" t="s">
        <v>367</v>
      </c>
      <c r="N49" s="35" t="s">
        <v>367</v>
      </c>
      <c r="Q49" t="s">
        <v>493</v>
      </c>
      <c r="AF49" s="32">
        <v>46148</v>
      </c>
      <c r="AG49" t="s">
        <v>935</v>
      </c>
      <c r="AK49" s="16" t="s">
        <v>863</v>
      </c>
      <c r="AL49" s="37" t="s">
        <v>70</v>
      </c>
      <c r="AM49" s="37" t="s">
        <v>70</v>
      </c>
    </row>
    <row r="50" spans="2:39" x14ac:dyDescent="0.35">
      <c r="B50" t="s">
        <v>936</v>
      </c>
      <c r="C50" t="s">
        <v>1546</v>
      </c>
      <c r="L50" t="s">
        <v>93</v>
      </c>
      <c r="M50" t="s">
        <v>367</v>
      </c>
      <c r="N50" s="35" t="s">
        <v>367</v>
      </c>
      <c r="Q50" t="s">
        <v>493</v>
      </c>
      <c r="AF50" s="32">
        <v>46148</v>
      </c>
      <c r="AG50" t="s">
        <v>937</v>
      </c>
      <c r="AK50" s="16" t="s">
        <v>863</v>
      </c>
      <c r="AL50" s="37" t="s">
        <v>70</v>
      </c>
      <c r="AM50" s="37" t="s">
        <v>70</v>
      </c>
    </row>
  </sheetData>
  <autoFilter ref="A1:AM50" xr:uid="{00000000-0009-0000-0000-000007000000}"/>
  <conditionalFormatting sqref="N2:N500">
    <cfRule type="cellIs" dxfId="50" priority="2" operator="equal">
      <formula>"A"</formula>
    </cfRule>
    <cfRule type="cellIs" dxfId="49" priority="3" operator="equal">
      <formula>"B"</formula>
    </cfRule>
    <cfRule type="cellIs" dxfId="48" priority="4" operator="equal">
      <formula>"C"</formula>
    </cfRule>
    <cfRule type="cellIs" dxfId="47" priority="5" operator="equal">
      <formula>"D"</formula>
    </cfRule>
  </conditionalFormatting>
  <conditionalFormatting sqref="AA2:AA500">
    <cfRule type="cellIs" dxfId="46" priority="6" operator="equal">
      <formula>"NEW"</formula>
    </cfRule>
    <cfRule type="cellIs" dxfId="45" priority="7" operator="equal">
      <formula>"IN_PROGRESS_DRIVERS"</formula>
    </cfRule>
    <cfRule type="cellIs" dxfId="44" priority="8" operator="equal">
      <formula>"IN_PROGRESS_VEHICLES"</formula>
    </cfRule>
    <cfRule type="cellIs" dxfId="43" priority="9" operator="equal">
      <formula>"IN_PROGRESS_CIRCUMSTANCES"</formula>
    </cfRule>
    <cfRule type="cellIs" dxfId="42" priority="10" operator="equal">
      <formula>"TO_SIGN"</formula>
    </cfRule>
    <cfRule type="cellIs" dxfId="41" priority="11" operator="equal">
      <formula>"FINISHED"</formula>
    </cfRule>
    <cfRule type="cellIs" dxfId="40" priority="12" operator="equal">
      <formula>"CANCEL"</formula>
    </cfRule>
    <cfRule type="cellIs" dxfId="39" priority="13" operator="equal">
      <formula>"ERROR"</formula>
    </cfRule>
  </conditionalFormatting>
  <conditionalFormatting sqref="AF2:AF500">
    <cfRule type="cellIs" dxfId="38" priority="14" operator="equal">
      <formula>"pass"</formula>
    </cfRule>
    <cfRule type="cellIs" dxfId="37" priority="15" operator="equal">
      <formula>"fail"</formula>
    </cfRule>
    <cfRule type="cellIs" dxfId="36" priority="16" operator="equal">
      <formula>"skip"</formula>
    </cfRule>
    <cfRule type="cellIs" dxfId="35" priority="17" operator="equal">
      <formula>"blocked"</formula>
    </cfRule>
    <cfRule type="cellIs" dxfId="34" priority="18" operator="equal">
      <formula>"partial"</formula>
    </cfRule>
  </conditionalFormatting>
  <dataValidations count="7">
    <dataValidation type="list" allowBlank="1" sqref="J2:J500" xr:uid="{00000000-0002-0000-0700-000000000000}">
      <formula1>"test_case"</formula1>
      <formula2>0</formula2>
    </dataValidation>
    <dataValidation type="list" allowBlank="1" sqref="K2:K500" xr:uid="{00000000-0002-0000-0700-000001000000}">
      <formula1>"draft,ready,active,blocked,deprecated"</formula1>
      <formula2>0</formula2>
    </dataValidation>
    <dataValidation type="list" allowBlank="1" sqref="L2:M500" xr:uid="{00000000-0002-0000-0700-000002000000}">
      <formula1>"A,B,C,D"</formula1>
      <formula2>0</formula2>
    </dataValidation>
    <dataValidation type="list" allowBlank="1" sqref="R2:R500" xr:uid="{00000000-0002-0000-0700-000004000000}">
      <formula1>"happy,failure,regression,smoke"</formula1>
      <formula2>0</formula2>
    </dataValidation>
    <dataValidation type="list" allowBlank="1" sqref="AA2:AA500" xr:uid="{00000000-0002-0000-0700-000005000000}">
      <formula1>"NEW,IN_PROGRESS_DRIVERS,IN_PROGRESS_VEHICLES,IN_PROGRESS_CIRCUMSTANCES,TO_SIGN,FINISHED,CANCEL,ERROR,n/a"</formula1>
      <formula2>0</formula2>
    </dataValidation>
    <dataValidation type="list" allowBlank="1" sqref="AF2:AF500" xr:uid="{00000000-0002-0000-0700-000006000000}">
      <formula1>"pass,fail,skip,blocked,partial"</formula1>
      <formula2>0</formula2>
    </dataValidation>
    <dataValidation type="list" allowBlank="1" sqref="AJ2:AJ500" xr:uid="{00000000-0002-0000-0700-000007000000}">
      <formula1>"smoke,happy,exception,negative,regression,exhaustive"</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14" customWidth="1"/>
    <col min="3" max="3" width="16" customWidth="1"/>
    <col min="4" max="4" width="26" customWidth="1"/>
    <col min="5" max="6" width="22" customWidth="1"/>
    <col min="7" max="7" width="36" customWidth="1"/>
    <col min="8" max="8" width="30" customWidth="1"/>
    <col min="9" max="9" width="50" customWidth="1"/>
  </cols>
  <sheetData>
    <row r="1" spans="1:9" ht="27.75" customHeight="1" x14ac:dyDescent="0.35">
      <c r="A1" s="5" t="s">
        <v>42</v>
      </c>
      <c r="B1" s="5" t="s">
        <v>938</v>
      </c>
      <c r="C1" s="5" t="s">
        <v>939</v>
      </c>
      <c r="D1" s="5" t="s">
        <v>940</v>
      </c>
      <c r="E1" s="5" t="s">
        <v>941</v>
      </c>
      <c r="F1" s="5" t="s">
        <v>942</v>
      </c>
      <c r="G1" s="5" t="s">
        <v>943</v>
      </c>
      <c r="H1" s="5" t="s">
        <v>944</v>
      </c>
      <c r="I1" s="5" t="s">
        <v>56</v>
      </c>
    </row>
    <row r="2" spans="1:9" ht="15" customHeight="1" x14ac:dyDescent="0.35">
      <c r="A2" s="6">
        <v>1</v>
      </c>
      <c r="B2" s="6" t="s">
        <v>662</v>
      </c>
      <c r="C2" s="6" t="s">
        <v>945</v>
      </c>
      <c r="D2" s="6" t="s">
        <v>946</v>
      </c>
      <c r="E2" s="6" t="s">
        <v>947</v>
      </c>
      <c r="F2" s="6" t="s">
        <v>948</v>
      </c>
      <c r="G2" s="6" t="s">
        <v>949</v>
      </c>
      <c r="H2" s="6" t="s">
        <v>950</v>
      </c>
      <c r="I2" s="6"/>
    </row>
    <row r="3" spans="1:9" ht="15" customHeight="1" x14ac:dyDescent="0.35">
      <c r="A3" s="6">
        <v>2</v>
      </c>
      <c r="B3" s="6" t="s">
        <v>662</v>
      </c>
      <c r="C3" s="6" t="s">
        <v>951</v>
      </c>
      <c r="D3" s="6" t="s">
        <v>952</v>
      </c>
      <c r="E3" s="6" t="s">
        <v>947</v>
      </c>
      <c r="F3" s="6" t="s">
        <v>953</v>
      </c>
      <c r="G3" s="6" t="s">
        <v>954</v>
      </c>
      <c r="H3" s="6" t="s">
        <v>954</v>
      </c>
      <c r="I3" s="6" t="s">
        <v>955</v>
      </c>
    </row>
    <row r="4" spans="1:9" ht="15" customHeight="1" x14ac:dyDescent="0.35">
      <c r="A4" s="6">
        <v>3</v>
      </c>
      <c r="B4" s="6" t="s">
        <v>677</v>
      </c>
      <c r="C4" s="6" t="s">
        <v>956</v>
      </c>
      <c r="D4" s="6" t="s">
        <v>957</v>
      </c>
      <c r="E4" s="6" t="s">
        <v>958</v>
      </c>
      <c r="F4" s="6" t="s">
        <v>959</v>
      </c>
      <c r="G4" s="6" t="s">
        <v>960</v>
      </c>
      <c r="H4" s="6" t="s">
        <v>961</v>
      </c>
      <c r="I4" s="6"/>
    </row>
    <row r="5" spans="1:9" ht="15" customHeight="1" x14ac:dyDescent="0.35">
      <c r="A5" s="6">
        <v>4</v>
      </c>
      <c r="B5" s="6" t="s">
        <v>685</v>
      </c>
      <c r="C5" s="6" t="s">
        <v>962</v>
      </c>
      <c r="D5" s="6" t="s">
        <v>963</v>
      </c>
      <c r="E5" s="6" t="s">
        <v>958</v>
      </c>
      <c r="F5" s="6" t="s">
        <v>953</v>
      </c>
      <c r="G5" s="6" t="s">
        <v>964</v>
      </c>
      <c r="H5" s="6" t="s">
        <v>964</v>
      </c>
      <c r="I5" s="6" t="s">
        <v>965</v>
      </c>
    </row>
    <row r="6" spans="1:9" ht="15" customHeight="1" x14ac:dyDescent="0.35">
      <c r="A6" s="6">
        <v>5</v>
      </c>
      <c r="B6" s="6" t="s">
        <v>701</v>
      </c>
      <c r="C6" s="6" t="s">
        <v>966</v>
      </c>
      <c r="D6" s="6" t="s">
        <v>967</v>
      </c>
      <c r="E6" s="6" t="s">
        <v>947</v>
      </c>
      <c r="F6" s="6" t="s">
        <v>959</v>
      </c>
      <c r="G6" s="6" t="s">
        <v>968</v>
      </c>
      <c r="H6" s="6" t="s">
        <v>969</v>
      </c>
      <c r="I6" s="6" t="s">
        <v>970</v>
      </c>
    </row>
    <row r="7" spans="1:9" ht="23.25" customHeight="1" x14ac:dyDescent="0.35">
      <c r="A7" s="6">
        <v>6</v>
      </c>
      <c r="B7" s="6" t="s">
        <v>701</v>
      </c>
      <c r="C7" s="6" t="s">
        <v>971</v>
      </c>
      <c r="D7" s="6" t="s">
        <v>972</v>
      </c>
      <c r="E7" s="6" t="s">
        <v>947</v>
      </c>
      <c r="F7" s="6" t="s">
        <v>973</v>
      </c>
      <c r="G7" s="6" t="s">
        <v>974</v>
      </c>
      <c r="H7" s="6" t="s">
        <v>975</v>
      </c>
      <c r="I7" s="6"/>
    </row>
    <row r="8" spans="1:9" ht="23.25" customHeight="1" x14ac:dyDescent="0.35">
      <c r="A8" s="6">
        <v>7</v>
      </c>
      <c r="B8" s="6" t="s">
        <v>701</v>
      </c>
      <c r="C8" s="6" t="s">
        <v>976</v>
      </c>
      <c r="D8" s="6" t="s">
        <v>977</v>
      </c>
      <c r="E8" s="6" t="s">
        <v>947</v>
      </c>
      <c r="F8" s="6" t="s">
        <v>973</v>
      </c>
      <c r="G8" s="6" t="s">
        <v>978</v>
      </c>
      <c r="H8" s="6" t="s">
        <v>979</v>
      </c>
      <c r="I8" s="6"/>
    </row>
    <row r="9" spans="1:9" ht="15" customHeight="1" x14ac:dyDescent="0.35">
      <c r="A9" s="6">
        <v>8</v>
      </c>
      <c r="B9" s="6" t="s">
        <v>810</v>
      </c>
      <c r="C9" s="6" t="s">
        <v>980</v>
      </c>
      <c r="D9" s="6" t="s">
        <v>981</v>
      </c>
      <c r="E9" s="6" t="s">
        <v>982</v>
      </c>
      <c r="F9" s="6" t="s">
        <v>948</v>
      </c>
      <c r="G9" s="6" t="s">
        <v>983</v>
      </c>
      <c r="H9" s="6" t="s">
        <v>984</v>
      </c>
      <c r="I9" s="6"/>
    </row>
  </sheetData>
  <dataValidations count="2">
    <dataValidation type="list" allowBlank="1" sqref="E2:E500" xr:uid="{00000000-0002-0000-0800-000000000000}">
      <formula1>"string,integer,decimal,boolean,json,regex"</formula1>
      <formula2>0</formula2>
    </dataValidation>
    <dataValidation type="list" allowBlank="1" sqref="F2:F500" xr:uid="{00000000-0002-0000-0800-000001000000}">
      <formula1>"literal,fixture-ref,env-config,derived,from-mock-response"</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3" width="14" customWidth="1"/>
    <col min="4" max="4" width="24" customWidth="1"/>
    <col min="5" max="5" width="14" customWidth="1"/>
    <col min="6" max="6" width="50" customWidth="1"/>
    <col min="7" max="7" width="36" customWidth="1"/>
  </cols>
  <sheetData>
    <row r="1" spans="1:7" ht="27.75" customHeight="1" x14ac:dyDescent="0.35">
      <c r="A1" s="5" t="s">
        <v>42</v>
      </c>
      <c r="B1" s="5" t="s">
        <v>938</v>
      </c>
      <c r="C1" s="5" t="s">
        <v>985</v>
      </c>
      <c r="D1" s="5" t="s">
        <v>986</v>
      </c>
      <c r="E1" s="5" t="s">
        <v>549</v>
      </c>
      <c r="F1" s="5" t="s">
        <v>987</v>
      </c>
      <c r="G1" s="5" t="s">
        <v>56</v>
      </c>
    </row>
    <row r="2" spans="1:7" ht="23.25" customHeight="1" x14ac:dyDescent="0.35">
      <c r="A2" s="6">
        <v>1</v>
      </c>
      <c r="B2" s="6" t="s">
        <v>662</v>
      </c>
      <c r="C2" s="6" t="s">
        <v>988</v>
      </c>
      <c r="D2" s="6" t="s">
        <v>989</v>
      </c>
      <c r="E2" s="6" t="s">
        <v>377</v>
      </c>
      <c r="F2" s="6" t="s">
        <v>990</v>
      </c>
      <c r="G2" s="6"/>
    </row>
    <row r="3" spans="1:7" ht="23.25" customHeight="1" x14ac:dyDescent="0.35">
      <c r="A3" s="6">
        <v>2</v>
      </c>
      <c r="B3" s="6" t="s">
        <v>662</v>
      </c>
      <c r="C3" s="6" t="s">
        <v>991</v>
      </c>
      <c r="D3" s="6" t="s">
        <v>989</v>
      </c>
      <c r="E3" s="6" t="s">
        <v>377</v>
      </c>
      <c r="F3" s="6" t="s">
        <v>992</v>
      </c>
      <c r="G3" s="6"/>
    </row>
    <row r="4" spans="1:7" ht="23.25" customHeight="1" x14ac:dyDescent="0.35">
      <c r="A4" s="6">
        <v>3</v>
      </c>
      <c r="B4" s="6" t="s">
        <v>662</v>
      </c>
      <c r="C4" s="6" t="s">
        <v>993</v>
      </c>
      <c r="D4" s="6" t="s">
        <v>994</v>
      </c>
      <c r="E4" s="6" t="s">
        <v>555</v>
      </c>
      <c r="F4" s="6" t="s">
        <v>995</v>
      </c>
      <c r="G4" s="6" t="s">
        <v>996</v>
      </c>
    </row>
    <row r="5" spans="1:7" ht="23.25" customHeight="1" x14ac:dyDescent="0.35">
      <c r="A5" s="6">
        <v>4</v>
      </c>
      <c r="B5" s="6" t="s">
        <v>677</v>
      </c>
      <c r="C5" s="6" t="s">
        <v>997</v>
      </c>
      <c r="D5" s="6" t="s">
        <v>998</v>
      </c>
      <c r="E5" s="6" t="s">
        <v>377</v>
      </c>
      <c r="F5" s="6" t="s">
        <v>999</v>
      </c>
      <c r="G5" s="6"/>
    </row>
    <row r="6" spans="1:7" ht="23.25" customHeight="1" x14ac:dyDescent="0.35">
      <c r="A6" s="6">
        <v>5</v>
      </c>
      <c r="B6" s="6" t="s">
        <v>701</v>
      </c>
      <c r="C6" s="6" t="s">
        <v>1000</v>
      </c>
      <c r="D6" s="6" t="s">
        <v>1001</v>
      </c>
      <c r="E6" s="6" t="s">
        <v>557</v>
      </c>
      <c r="F6" s="6" t="s">
        <v>1002</v>
      </c>
      <c r="G6" s="6" t="s">
        <v>1003</v>
      </c>
    </row>
    <row r="7" spans="1:7" ht="23.25" customHeight="1" x14ac:dyDescent="0.35">
      <c r="A7" s="6">
        <v>6</v>
      </c>
      <c r="B7" s="6" t="s">
        <v>701</v>
      </c>
      <c r="C7" s="6" t="s">
        <v>1004</v>
      </c>
      <c r="D7" s="6" t="s">
        <v>1005</v>
      </c>
      <c r="E7" s="6" t="s">
        <v>377</v>
      </c>
      <c r="F7" s="6" t="s">
        <v>1006</v>
      </c>
      <c r="G7" s="6" t="s">
        <v>1003</v>
      </c>
    </row>
    <row r="8" spans="1:7" ht="23.25" customHeight="1" x14ac:dyDescent="0.35">
      <c r="A8" s="6">
        <v>7</v>
      </c>
      <c r="B8" s="6" t="s">
        <v>810</v>
      </c>
      <c r="C8" s="6" t="s">
        <v>1007</v>
      </c>
      <c r="D8" s="6" t="s">
        <v>1008</v>
      </c>
      <c r="E8" s="6" t="s">
        <v>377</v>
      </c>
      <c r="F8" s="6" t="s">
        <v>1009</v>
      </c>
      <c r="G8" s="6"/>
    </row>
  </sheetData>
  <dataValidations count="1">
    <dataValidation type="list" allowBlank="1" sqref="E2:E500" xr:uid="{00000000-0002-0000-0900-000000000000}">
      <formula1>"F,U,R,P,S,+D,+I,+N,+L,+P_phys"</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5"/>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22" customWidth="1"/>
    <col min="3" max="3" width="28" customWidth="1"/>
    <col min="4" max="4" width="14" customWidth="1"/>
    <col min="5" max="6" width="36" customWidth="1"/>
    <col min="7" max="8" width="50" customWidth="1"/>
    <col min="9" max="9" width="36" customWidth="1"/>
  </cols>
  <sheetData>
    <row r="1" spans="1:9" ht="27.75" customHeight="1" x14ac:dyDescent="0.35">
      <c r="A1" s="5" t="s">
        <v>42</v>
      </c>
      <c r="B1" s="5" t="s">
        <v>1010</v>
      </c>
      <c r="C1" s="5" t="s">
        <v>1011</v>
      </c>
      <c r="D1" s="5" t="s">
        <v>549</v>
      </c>
      <c r="E1" s="5" t="s">
        <v>570</v>
      </c>
      <c r="F1" s="5" t="s">
        <v>1012</v>
      </c>
      <c r="G1" s="5" t="s">
        <v>1013</v>
      </c>
      <c r="H1" s="5" t="s">
        <v>1014</v>
      </c>
      <c r="I1" s="5" t="s">
        <v>56</v>
      </c>
    </row>
    <row r="2" spans="1:9" ht="23.25" customHeight="1" x14ac:dyDescent="0.35">
      <c r="A2" s="6">
        <v>1</v>
      </c>
      <c r="B2" s="6" t="s">
        <v>1015</v>
      </c>
      <c r="C2" s="6" t="s">
        <v>1016</v>
      </c>
      <c r="D2" s="6" t="s">
        <v>377</v>
      </c>
      <c r="E2" s="6" t="s">
        <v>1017</v>
      </c>
      <c r="F2" s="6" t="s">
        <v>1018</v>
      </c>
      <c r="G2" s="6" t="s">
        <v>1019</v>
      </c>
      <c r="H2" s="6" t="s">
        <v>1020</v>
      </c>
      <c r="I2" s="6" t="s">
        <v>1021</v>
      </c>
    </row>
    <row r="3" spans="1:9" ht="34.5" customHeight="1" x14ac:dyDescent="0.35">
      <c r="A3" s="6">
        <v>2</v>
      </c>
      <c r="B3" s="6" t="s">
        <v>994</v>
      </c>
      <c r="C3" s="6" t="s">
        <v>1022</v>
      </c>
      <c r="D3" s="6" t="s">
        <v>555</v>
      </c>
      <c r="E3" s="6" t="s">
        <v>1023</v>
      </c>
      <c r="F3" s="6" t="s">
        <v>1023</v>
      </c>
      <c r="G3" s="6" t="s">
        <v>1024</v>
      </c>
      <c r="H3" s="6" t="s">
        <v>1025</v>
      </c>
      <c r="I3" s="6" t="s">
        <v>1026</v>
      </c>
    </row>
    <row r="4" spans="1:9" ht="34.5" customHeight="1" x14ac:dyDescent="0.35">
      <c r="A4" s="6">
        <v>3</v>
      </c>
      <c r="B4" s="6" t="s">
        <v>1001</v>
      </c>
      <c r="C4" s="6" t="s">
        <v>1027</v>
      </c>
      <c r="D4" s="6" t="s">
        <v>557</v>
      </c>
      <c r="E4" s="6" t="s">
        <v>1028</v>
      </c>
      <c r="F4" s="6" t="s">
        <v>1029</v>
      </c>
      <c r="G4" s="6" t="s">
        <v>1030</v>
      </c>
      <c r="H4" s="6" t="s">
        <v>1031</v>
      </c>
      <c r="I4" s="6" t="s">
        <v>1032</v>
      </c>
    </row>
    <row r="5" spans="1:9" ht="23.25" customHeight="1" x14ac:dyDescent="0.35">
      <c r="A5" s="6">
        <v>4</v>
      </c>
      <c r="B5" s="6" t="s">
        <v>1033</v>
      </c>
      <c r="C5" s="6" t="s">
        <v>1034</v>
      </c>
      <c r="D5" s="6" t="s">
        <v>558</v>
      </c>
      <c r="E5" s="6" t="s">
        <v>1035</v>
      </c>
      <c r="F5" s="6" t="s">
        <v>1036</v>
      </c>
      <c r="G5" s="6" t="s">
        <v>1037</v>
      </c>
      <c r="H5" s="6" t="s">
        <v>1038</v>
      </c>
      <c r="I5" s="6" t="s">
        <v>1039</v>
      </c>
    </row>
    <row r="6" spans="1:9" ht="23.25" customHeight="1" x14ac:dyDescent="0.35">
      <c r="A6" s="6">
        <v>5</v>
      </c>
      <c r="B6" s="6" t="s">
        <v>1040</v>
      </c>
      <c r="C6" s="6" t="s">
        <v>1041</v>
      </c>
      <c r="D6" s="6" t="s">
        <v>559</v>
      </c>
      <c r="E6" s="6" t="s">
        <v>1042</v>
      </c>
      <c r="F6" s="6" t="s">
        <v>1043</v>
      </c>
      <c r="G6" s="6" t="s">
        <v>1044</v>
      </c>
      <c r="H6" s="6" t="s">
        <v>1045</v>
      </c>
      <c r="I6" s="6" t="s">
        <v>1046</v>
      </c>
    </row>
    <row r="7" spans="1:9" ht="15" customHeight="1" x14ac:dyDescent="0.35">
      <c r="A7" s="6">
        <v>6</v>
      </c>
      <c r="B7" s="6" t="s">
        <v>989</v>
      </c>
      <c r="C7" s="6" t="s">
        <v>1047</v>
      </c>
      <c r="D7" s="6" t="s">
        <v>377</v>
      </c>
      <c r="E7" s="6" t="s">
        <v>1048</v>
      </c>
      <c r="F7" s="6" t="s">
        <v>1049</v>
      </c>
      <c r="G7" s="6" t="s">
        <v>1050</v>
      </c>
      <c r="H7" s="6" t="s">
        <v>1051</v>
      </c>
      <c r="I7" s="6" t="s">
        <v>1052</v>
      </c>
    </row>
    <row r="8" spans="1:9" ht="15" customHeight="1" x14ac:dyDescent="0.35">
      <c r="A8" s="6">
        <v>7</v>
      </c>
      <c r="B8" s="6" t="s">
        <v>998</v>
      </c>
      <c r="C8" s="6" t="s">
        <v>1053</v>
      </c>
      <c r="D8" s="6" t="s">
        <v>377</v>
      </c>
      <c r="E8" s="6" t="s">
        <v>1054</v>
      </c>
      <c r="F8" s="6" t="s">
        <v>1055</v>
      </c>
      <c r="G8" s="6" t="s">
        <v>1056</v>
      </c>
      <c r="H8" s="6" t="s">
        <v>1057</v>
      </c>
      <c r="I8" s="6" t="s">
        <v>1058</v>
      </c>
    </row>
    <row r="9" spans="1:9" ht="23.25" customHeight="1" x14ac:dyDescent="0.35">
      <c r="A9" s="6">
        <v>8</v>
      </c>
      <c r="B9" s="6" t="s">
        <v>1005</v>
      </c>
      <c r="C9" s="6" t="s">
        <v>1059</v>
      </c>
      <c r="D9" s="6" t="s">
        <v>377</v>
      </c>
      <c r="E9" s="6" t="s">
        <v>1060</v>
      </c>
      <c r="F9" s="6" t="s">
        <v>1061</v>
      </c>
      <c r="G9" s="6" t="s">
        <v>1062</v>
      </c>
      <c r="H9" s="6" t="s">
        <v>1063</v>
      </c>
      <c r="I9" s="6"/>
    </row>
    <row r="10" spans="1:9" ht="23.25" customHeight="1" x14ac:dyDescent="0.35">
      <c r="A10" s="6">
        <v>9</v>
      </c>
      <c r="B10" s="6" t="s">
        <v>1008</v>
      </c>
      <c r="C10" s="6" t="s">
        <v>1064</v>
      </c>
      <c r="D10" s="6" t="s">
        <v>377</v>
      </c>
      <c r="E10" s="6" t="s">
        <v>1065</v>
      </c>
      <c r="F10" s="6" t="s">
        <v>1066</v>
      </c>
      <c r="G10" s="6" t="s">
        <v>1067</v>
      </c>
      <c r="H10" s="6" t="s">
        <v>1068</v>
      </c>
      <c r="I10" s="6" t="s">
        <v>1069</v>
      </c>
    </row>
    <row r="11" spans="1:9" ht="15" customHeight="1" x14ac:dyDescent="0.35">
      <c r="A11" s="6">
        <v>10</v>
      </c>
      <c r="B11" s="6" t="s">
        <v>1070</v>
      </c>
      <c r="C11" s="6" t="s">
        <v>1071</v>
      </c>
      <c r="D11" s="6" t="s">
        <v>377</v>
      </c>
      <c r="E11" s="6" t="s">
        <v>1072</v>
      </c>
      <c r="F11" s="6" t="s">
        <v>1073</v>
      </c>
      <c r="G11" s="6" t="s">
        <v>1074</v>
      </c>
      <c r="H11" s="6" t="s">
        <v>1075</v>
      </c>
      <c r="I11" s="6"/>
    </row>
    <row r="12" spans="1:9" ht="23.25" customHeight="1" x14ac:dyDescent="0.35">
      <c r="A12" s="6">
        <v>11</v>
      </c>
      <c r="B12" s="6" t="s">
        <v>1076</v>
      </c>
      <c r="C12" s="6" t="s">
        <v>1077</v>
      </c>
      <c r="D12" s="6" t="s">
        <v>377</v>
      </c>
      <c r="E12" s="6" t="s">
        <v>1078</v>
      </c>
      <c r="F12" s="6" t="s">
        <v>1079</v>
      </c>
      <c r="G12" s="6" t="s">
        <v>1080</v>
      </c>
      <c r="H12" s="6" t="s">
        <v>1081</v>
      </c>
      <c r="I12" s="6" t="s">
        <v>1082</v>
      </c>
    </row>
    <row r="13" spans="1:9" ht="23.25" customHeight="1" x14ac:dyDescent="0.35">
      <c r="A13" s="6">
        <v>12</v>
      </c>
      <c r="B13" s="6" t="s">
        <v>1083</v>
      </c>
      <c r="C13" s="6" t="s">
        <v>1084</v>
      </c>
      <c r="D13" s="6" t="s">
        <v>377</v>
      </c>
      <c r="E13" s="6" t="s">
        <v>1085</v>
      </c>
      <c r="F13" s="6" t="s">
        <v>1086</v>
      </c>
      <c r="G13" s="6" t="s">
        <v>1087</v>
      </c>
      <c r="H13" s="6" t="s">
        <v>1088</v>
      </c>
      <c r="I13" s="6" t="s">
        <v>1089</v>
      </c>
    </row>
    <row r="14" spans="1:9" ht="23.25" customHeight="1" x14ac:dyDescent="0.35">
      <c r="A14" s="6">
        <v>13</v>
      </c>
      <c r="B14" s="6" t="s">
        <v>1090</v>
      </c>
      <c r="C14" s="6" t="s">
        <v>1091</v>
      </c>
      <c r="D14" s="6" t="s">
        <v>377</v>
      </c>
      <c r="E14" s="6" t="s">
        <v>1092</v>
      </c>
      <c r="F14" s="6" t="s">
        <v>1093</v>
      </c>
      <c r="G14" s="6" t="s">
        <v>1094</v>
      </c>
      <c r="H14" s="6" t="s">
        <v>1095</v>
      </c>
      <c r="I14" s="6" t="s">
        <v>1096</v>
      </c>
    </row>
    <row r="15" spans="1:9" ht="23.25" customHeight="1" x14ac:dyDescent="0.35">
      <c r="A15" s="6">
        <v>14</v>
      </c>
      <c r="B15" s="6" t="s">
        <v>1097</v>
      </c>
      <c r="C15" s="6" t="s">
        <v>1098</v>
      </c>
      <c r="D15" s="6" t="s">
        <v>377</v>
      </c>
      <c r="E15" s="6" t="s">
        <v>1099</v>
      </c>
      <c r="F15" s="6" t="s">
        <v>1100</v>
      </c>
      <c r="G15" s="6" t="s">
        <v>1101</v>
      </c>
      <c r="H15" s="6" t="s">
        <v>1102</v>
      </c>
      <c r="I15" s="6" t="s">
        <v>1103</v>
      </c>
    </row>
  </sheetData>
  <dataValidations count="1">
    <dataValidation type="list" allowBlank="1" sqref="D2:D500" xr:uid="{00000000-0002-0000-0A00-000000000000}">
      <formula1>"F,U,R,P,S,+D,+I,+N,+L,+P_phys"</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5"/>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3" width="14" customWidth="1"/>
    <col min="14" max="14" width="18" customWidth="1"/>
    <col min="15" max="15" width="12" customWidth="1"/>
    <col min="16" max="16" width="36" customWidth="1"/>
    <col min="17" max="17" width="12" customWidth="1"/>
    <col min="18" max="19" width="18" customWidth="1"/>
    <col min="20" max="20" width="50" customWidth="1"/>
  </cols>
  <sheetData>
    <row r="1" spans="1:20"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1104</v>
      </c>
      <c r="O1" s="5" t="s">
        <v>1105</v>
      </c>
      <c r="P1" s="5" t="s">
        <v>1106</v>
      </c>
      <c r="Q1" s="5" t="s">
        <v>1107</v>
      </c>
      <c r="R1" s="5" t="s">
        <v>212</v>
      </c>
      <c r="S1" s="5" t="s">
        <v>213</v>
      </c>
      <c r="T1" s="5" t="s">
        <v>56</v>
      </c>
    </row>
    <row r="2" spans="1:20" ht="45.75" customHeight="1" x14ac:dyDescent="0.35">
      <c r="A2" s="8">
        <v>1</v>
      </c>
      <c r="B2" s="8" t="s">
        <v>1108</v>
      </c>
      <c r="C2" s="6" t="s">
        <v>1109</v>
      </c>
      <c r="D2" s="6" t="s">
        <v>1110</v>
      </c>
      <c r="E2" s="6" t="s">
        <v>1111</v>
      </c>
      <c r="F2" s="6" t="s">
        <v>1112</v>
      </c>
      <c r="G2" s="6" t="s">
        <v>1113</v>
      </c>
      <c r="H2" s="6" t="s">
        <v>228</v>
      </c>
      <c r="I2" s="6" t="s">
        <v>367</v>
      </c>
      <c r="J2" s="6" t="s">
        <v>367</v>
      </c>
      <c r="K2" s="6" t="str">
        <f>IF(OR(I2="",J2=""),"D",IF(OR(I2="D",J2="D"),"D",IF((CODE(I2)+CODE(J2)-130)&lt;=3,"A",IF((CODE(I2)+CODE(J2)-130)=4,"B","C"))))</f>
        <v>B</v>
      </c>
      <c r="L2" s="6" t="s">
        <v>69</v>
      </c>
      <c r="M2" s="7">
        <v>46147</v>
      </c>
      <c r="N2" s="6" t="s">
        <v>1114</v>
      </c>
      <c r="O2" s="6" t="s">
        <v>1115</v>
      </c>
      <c r="P2" s="6" t="s">
        <v>1116</v>
      </c>
      <c r="Q2" s="6" t="s">
        <v>1117</v>
      </c>
      <c r="R2" s="7">
        <v>46147</v>
      </c>
      <c r="S2" s="7">
        <v>46147</v>
      </c>
      <c r="T2" s="6" t="s">
        <v>1118</v>
      </c>
    </row>
    <row r="3" spans="1:20" ht="45.75" customHeight="1" x14ac:dyDescent="0.35">
      <c r="A3" s="8">
        <v>2</v>
      </c>
      <c r="B3" s="8" t="s">
        <v>1119</v>
      </c>
      <c r="C3" s="6" t="s">
        <v>1120</v>
      </c>
      <c r="D3" s="6" t="s">
        <v>1121</v>
      </c>
      <c r="E3" s="6" t="s">
        <v>1122</v>
      </c>
      <c r="F3" s="6" t="s">
        <v>1123</v>
      </c>
      <c r="G3" s="6" t="s">
        <v>1113</v>
      </c>
      <c r="H3" s="6" t="s">
        <v>366</v>
      </c>
      <c r="I3" s="6" t="s">
        <v>68</v>
      </c>
      <c r="J3" s="6" t="s">
        <v>68</v>
      </c>
      <c r="K3" s="6" t="str">
        <f>IF(OR(I3="",J3=""),"D",IF(OR(I3="D",J3="D"),"D",IF((CODE(I3)+CODE(J3)-130)&lt;=3,"A",IF((CODE(I3)+CODE(J3)-130)=4,"B","C"))))</f>
        <v>A</v>
      </c>
      <c r="L3" s="6" t="s">
        <v>69</v>
      </c>
      <c r="M3" s="7">
        <v>46147</v>
      </c>
      <c r="N3" s="6" t="s">
        <v>1114</v>
      </c>
      <c r="O3" s="6" t="s">
        <v>1124</v>
      </c>
      <c r="P3" s="6" t="s">
        <v>1125</v>
      </c>
      <c r="Q3" s="6" t="s">
        <v>1126</v>
      </c>
      <c r="R3" s="7">
        <v>46147</v>
      </c>
      <c r="S3" s="7">
        <v>46147</v>
      </c>
      <c r="T3" s="6" t="s">
        <v>1127</v>
      </c>
    </row>
    <row r="4" spans="1:20" ht="34.5" customHeight="1" x14ac:dyDescent="0.35">
      <c r="A4" s="8">
        <v>3</v>
      </c>
      <c r="B4" s="8" t="s">
        <v>1128</v>
      </c>
      <c r="C4" s="6" t="s">
        <v>1129</v>
      </c>
      <c r="D4" s="6" t="s">
        <v>1130</v>
      </c>
      <c r="E4" s="6" t="s">
        <v>1131</v>
      </c>
      <c r="F4" s="6" t="s">
        <v>1132</v>
      </c>
      <c r="G4" s="6" t="s">
        <v>1113</v>
      </c>
      <c r="H4" s="6" t="s">
        <v>366</v>
      </c>
      <c r="I4" s="6" t="s">
        <v>68</v>
      </c>
      <c r="J4" s="6" t="s">
        <v>68</v>
      </c>
      <c r="K4" s="6" t="str">
        <f>IF(OR(I4="",J4=""),"D",IF(OR(I4="D",J4="D"),"D",IF((CODE(I4)+CODE(J4)-130)&lt;=3,"A",IF((CODE(I4)+CODE(J4)-130)=4,"B","C"))))</f>
        <v>A</v>
      </c>
      <c r="L4" s="6" t="s">
        <v>69</v>
      </c>
      <c r="M4" s="7">
        <v>46147</v>
      </c>
      <c r="N4" s="6" t="s">
        <v>1114</v>
      </c>
      <c r="O4" s="6" t="s">
        <v>1124</v>
      </c>
      <c r="P4" s="6" t="s">
        <v>1133</v>
      </c>
      <c r="Q4" s="6" t="s">
        <v>1117</v>
      </c>
      <c r="R4" s="7">
        <v>46147</v>
      </c>
      <c r="S4" s="7">
        <v>46147</v>
      </c>
      <c r="T4" s="6" t="s">
        <v>1134</v>
      </c>
    </row>
    <row r="5" spans="1:20" ht="23.25" customHeight="1" x14ac:dyDescent="0.35">
      <c r="A5" s="8">
        <v>4</v>
      </c>
      <c r="B5" s="8" t="s">
        <v>1135</v>
      </c>
      <c r="C5" s="6" t="s">
        <v>1136</v>
      </c>
      <c r="D5" s="6" t="s">
        <v>1137</v>
      </c>
      <c r="E5" s="6" t="s">
        <v>1138</v>
      </c>
      <c r="F5" s="6" t="s">
        <v>1139</v>
      </c>
      <c r="G5" s="6" t="s">
        <v>1113</v>
      </c>
      <c r="H5" s="6" t="s">
        <v>366</v>
      </c>
      <c r="I5" s="6" t="s">
        <v>68</v>
      </c>
      <c r="J5" s="6" t="s">
        <v>68</v>
      </c>
      <c r="K5" s="6" t="str">
        <f>IF(OR(I5="",J5=""),"D",IF(OR(I5="D",J5="D"),"D",IF((CODE(I5)+CODE(J5)-130)&lt;=3,"A",IF((CODE(I5)+CODE(J5)-130)=4,"B","C"))))</f>
        <v>A</v>
      </c>
      <c r="L5" s="6" t="s">
        <v>69</v>
      </c>
      <c r="M5" s="7">
        <v>46147</v>
      </c>
      <c r="N5" s="6" t="s">
        <v>1140</v>
      </c>
      <c r="O5" s="6" t="s">
        <v>1141</v>
      </c>
      <c r="P5" s="6" t="s">
        <v>1142</v>
      </c>
      <c r="Q5" s="6" t="s">
        <v>1143</v>
      </c>
      <c r="R5" s="7">
        <v>46147</v>
      </c>
      <c r="S5" s="7">
        <v>46147</v>
      </c>
      <c r="T5" s="6" t="s">
        <v>1144</v>
      </c>
    </row>
  </sheetData>
  <conditionalFormatting sqref="K2:K500">
    <cfRule type="cellIs" dxfId="33" priority="2" operator="equal">
      <formula>"A"</formula>
    </cfRule>
    <cfRule type="cellIs" dxfId="32" priority="3" operator="equal">
      <formula>"B"</formula>
    </cfRule>
    <cfRule type="cellIs" dxfId="31" priority="4" operator="equal">
      <formula>"C"</formula>
    </cfRule>
    <cfRule type="cellIs" dxfId="30" priority="5" operator="equal">
      <formula>"D"</formula>
    </cfRule>
  </conditionalFormatting>
  <dataValidations count="3">
    <dataValidation type="list" allowBlank="1" sqref="G2:G500" xr:uid="{00000000-0002-0000-0B00-000000000000}">
      <formula1>"test_data"</formula1>
      <formula2>0</formula2>
    </dataValidation>
    <dataValidation type="list" allowBlank="1" sqref="H2:H500" xr:uid="{00000000-0002-0000-0B00-000001000000}">
      <formula1>"draft,active,deprecated,blocked"</formula1>
      <formula2>0</formula2>
    </dataValidation>
    <dataValidation type="list" allowBlank="1" sqref="I2:J500" xr:uid="{00000000-0002-0000-0B00-000002000000}">
      <formula1>"A,B,C,D"</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2" width="14" customWidth="1"/>
    <col min="3" max="4" width="36" customWidth="1"/>
    <col min="5" max="5" width="50" customWidth="1"/>
    <col min="6" max="6" width="30" customWidth="1"/>
    <col min="7" max="7" width="50" customWidth="1"/>
    <col min="8" max="9" width="22" customWidth="1"/>
    <col min="10" max="10" width="12" customWidth="1"/>
    <col min="11" max="11" width="36" customWidth="1"/>
  </cols>
  <sheetData>
    <row r="1" spans="1:11" ht="27.75" customHeight="1" x14ac:dyDescent="0.35">
      <c r="A1" s="5" t="s">
        <v>42</v>
      </c>
      <c r="B1" s="5" t="s">
        <v>1145</v>
      </c>
      <c r="C1" s="5" t="s">
        <v>1146</v>
      </c>
      <c r="D1" s="5" t="s">
        <v>1147</v>
      </c>
      <c r="E1" s="5" t="s">
        <v>1148</v>
      </c>
      <c r="F1" s="5" t="s">
        <v>1149</v>
      </c>
      <c r="G1" s="5" t="s">
        <v>1150</v>
      </c>
      <c r="H1" s="5" t="s">
        <v>1151</v>
      </c>
      <c r="I1" s="5" t="s">
        <v>1152</v>
      </c>
      <c r="J1" s="5" t="s">
        <v>1153</v>
      </c>
      <c r="K1" s="5" t="s">
        <v>56</v>
      </c>
    </row>
    <row r="2" spans="1:11" ht="23.25" customHeight="1" x14ac:dyDescent="0.35">
      <c r="A2" s="6">
        <v>1</v>
      </c>
      <c r="B2" s="6" t="s">
        <v>1154</v>
      </c>
      <c r="C2" s="6" t="s">
        <v>1155</v>
      </c>
      <c r="D2" s="6" t="s">
        <v>1156</v>
      </c>
      <c r="E2" s="6" t="s">
        <v>1157</v>
      </c>
      <c r="F2" s="6" t="s">
        <v>1158</v>
      </c>
      <c r="G2" s="6" t="s">
        <v>1159</v>
      </c>
      <c r="H2" s="6" t="s">
        <v>1160</v>
      </c>
      <c r="I2" s="6" t="s">
        <v>1161</v>
      </c>
      <c r="J2" s="6" t="s">
        <v>228</v>
      </c>
      <c r="K2" s="6" t="s">
        <v>1162</v>
      </c>
    </row>
  </sheetData>
  <dataValidations count="2">
    <dataValidation type="list" allowBlank="1" sqref="I2:I100" xr:uid="{00000000-0002-0000-0C00-000000000000}">
      <formula1>"agile,waterfall,up,hybrid,none"</formula1>
      <formula2>0</formula2>
    </dataValidation>
    <dataValidation type="list" allowBlank="1" sqref="J2:J100" xr:uid="{00000000-0002-0000-0C00-000001000000}">
      <formula1>"draft,active,complete,deprecated"</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3" width="14" customWidth="1"/>
    <col min="4" max="4" width="22" customWidth="1"/>
    <col min="5" max="5" width="24" customWidth="1"/>
    <col min="6" max="9" width="14" customWidth="1"/>
    <col min="10" max="10" width="36" customWidth="1"/>
  </cols>
  <sheetData>
    <row r="1" spans="1:10" ht="27.75" customHeight="1" x14ac:dyDescent="0.35">
      <c r="A1" s="5" t="s">
        <v>42</v>
      </c>
      <c r="B1" s="5" t="s">
        <v>1163</v>
      </c>
      <c r="C1" s="5" t="s">
        <v>1164</v>
      </c>
      <c r="D1" s="5" t="s">
        <v>552</v>
      </c>
      <c r="E1" s="5" t="s">
        <v>1165</v>
      </c>
      <c r="F1" s="5" t="s">
        <v>1166</v>
      </c>
      <c r="G1" s="5" t="s">
        <v>1167</v>
      </c>
      <c r="H1" s="5" t="s">
        <v>1168</v>
      </c>
      <c r="I1" s="5" t="s">
        <v>1169</v>
      </c>
      <c r="J1" s="5" t="s">
        <v>56</v>
      </c>
    </row>
    <row r="2" spans="1:10" ht="34.5" customHeight="1" x14ac:dyDescent="0.35">
      <c r="A2" s="6">
        <v>1</v>
      </c>
      <c r="B2" s="6" t="s">
        <v>1170</v>
      </c>
      <c r="C2" s="6" t="s">
        <v>1154</v>
      </c>
      <c r="D2" s="6" t="s">
        <v>1171</v>
      </c>
      <c r="E2" s="6" t="s">
        <v>1172</v>
      </c>
      <c r="F2" s="7">
        <v>46146</v>
      </c>
      <c r="G2" s="7">
        <v>46150</v>
      </c>
      <c r="H2" s="7">
        <v>46146</v>
      </c>
      <c r="I2" s="6"/>
      <c r="J2" s="6" t="s">
        <v>1173</v>
      </c>
    </row>
  </sheetData>
  <dataValidations count="1">
    <dataValidation type="list" allowBlank="1" sqref="D2:D100" xr:uid="{00000000-0002-0000-0D00-000000000000}">
      <formula1>"iteration,sprint,phase"</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
  <sheetViews>
    <sheetView zoomScaleNormal="100" workbookViewId="0">
      <pane ySplit="1" topLeftCell="A2" activePane="bottomLeft" state="frozen"/>
      <selection pane="bottomLeft"/>
    </sheetView>
  </sheetViews>
  <sheetFormatPr defaultColWidth="8.6328125" defaultRowHeight="14.5" x14ac:dyDescent="0.35"/>
  <cols>
    <col min="1" max="1" width="6" customWidth="1"/>
    <col min="2" max="3" width="14" customWidth="1"/>
    <col min="4" max="4" width="24" customWidth="1"/>
    <col min="5" max="6" width="14" customWidth="1"/>
    <col min="7" max="7" width="22" customWidth="1"/>
    <col min="8" max="8" width="36" customWidth="1"/>
  </cols>
  <sheetData>
    <row r="1" spans="1:8" ht="27.75" customHeight="1" x14ac:dyDescent="0.35">
      <c r="A1" s="5" t="s">
        <v>42</v>
      </c>
      <c r="B1" s="5" t="s">
        <v>1174</v>
      </c>
      <c r="C1" s="5" t="s">
        <v>1164</v>
      </c>
      <c r="D1" s="5" t="s">
        <v>1175</v>
      </c>
      <c r="E1" s="5" t="s">
        <v>1176</v>
      </c>
      <c r="F1" s="5" t="s">
        <v>1177</v>
      </c>
      <c r="G1" s="5" t="s">
        <v>1178</v>
      </c>
      <c r="H1" s="5" t="s">
        <v>56</v>
      </c>
    </row>
    <row r="2" spans="1:8" ht="23.25" customHeight="1" x14ac:dyDescent="0.35">
      <c r="A2" s="6">
        <v>1</v>
      </c>
      <c r="B2" s="6" t="s">
        <v>1179</v>
      </c>
      <c r="C2" s="6" t="s">
        <v>1154</v>
      </c>
      <c r="D2" s="6" t="s">
        <v>1180</v>
      </c>
      <c r="E2" s="6">
        <v>1.5</v>
      </c>
      <c r="F2" s="6" t="s">
        <v>1181</v>
      </c>
      <c r="G2" s="6" t="s">
        <v>1182</v>
      </c>
      <c r="H2" s="6" t="s">
        <v>1183</v>
      </c>
    </row>
  </sheetData>
  <dataValidations count="2">
    <dataValidation type="list" allowBlank="1" sqref="F2:F100" xr:uid="{00000000-0002-0000-0E00-000000000000}">
      <formula1>"high,medium,low"</formula1>
      <formula2>0</formula2>
    </dataValidation>
    <dataValidation type="list" allowBlank="1" sqref="G2:G100" xr:uid="{00000000-0002-0000-0E00-000001000000}">
      <formula1>"expert,three-point,historical,story-points"</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4"/>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3" width="14" customWidth="1"/>
    <col min="14" max="14" width="32" customWidth="1"/>
    <col min="15" max="15" width="18" customWidth="1"/>
    <col min="16" max="16" width="10" customWidth="1"/>
    <col min="17" max="17" width="18" customWidth="1"/>
    <col min="18" max="18" width="24" customWidth="1"/>
    <col min="19" max="21" width="32" customWidth="1"/>
    <col min="22" max="22" width="36" customWidth="1"/>
    <col min="23" max="24" width="18" customWidth="1"/>
    <col min="25" max="25" width="50" customWidth="1"/>
    <col min="26" max="26" width="22" customWidth="1"/>
  </cols>
  <sheetData>
    <row r="1" spans="1:26"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1184</v>
      </c>
      <c r="O1" s="5" t="s">
        <v>1185</v>
      </c>
      <c r="P1" s="5" t="s">
        <v>1186</v>
      </c>
      <c r="Q1" s="5" t="s">
        <v>1187</v>
      </c>
      <c r="R1" s="5" t="s">
        <v>1188</v>
      </c>
      <c r="S1" s="5" t="s">
        <v>1189</v>
      </c>
      <c r="T1" s="5" t="s">
        <v>1190</v>
      </c>
      <c r="U1" s="5" t="s">
        <v>1191</v>
      </c>
      <c r="V1" s="5" t="s">
        <v>1192</v>
      </c>
      <c r="W1" s="5" t="s">
        <v>212</v>
      </c>
      <c r="X1" s="5" t="s">
        <v>213</v>
      </c>
      <c r="Y1" s="5" t="s">
        <v>56</v>
      </c>
      <c r="Z1" s="5" t="s">
        <v>1193</v>
      </c>
    </row>
    <row r="2" spans="1:26" ht="34.5" customHeight="1" x14ac:dyDescent="0.35">
      <c r="A2" s="8">
        <v>1</v>
      </c>
      <c r="B2" s="8" t="s">
        <v>1194</v>
      </c>
      <c r="C2" s="6" t="s">
        <v>1195</v>
      </c>
      <c r="D2" s="6" t="s">
        <v>1196</v>
      </c>
      <c r="E2" s="6" t="s">
        <v>1197</v>
      </c>
      <c r="F2" s="6" t="s">
        <v>1198</v>
      </c>
      <c r="G2" s="6" t="s">
        <v>1199</v>
      </c>
      <c r="H2" s="6" t="s">
        <v>228</v>
      </c>
      <c r="I2" s="6" t="s">
        <v>367</v>
      </c>
      <c r="J2" s="6" t="s">
        <v>367</v>
      </c>
      <c r="K2" s="6" t="str">
        <f>IF(OR(I2="",J2=""),"D",IF(OR(I2="D",J2="D"),"D",IF((CODE(I2)+CODE(J2)-130)&lt;=3,"A",IF((CODE(I2)+CODE(J2)-130)=4,"B","C"))))</f>
        <v>B</v>
      </c>
      <c r="L2" s="6" t="s">
        <v>69</v>
      </c>
      <c r="M2" s="7">
        <v>46147</v>
      </c>
      <c r="N2" s="6" t="s">
        <v>1200</v>
      </c>
      <c r="O2" s="6" t="s">
        <v>1201</v>
      </c>
      <c r="P2" s="6" t="s">
        <v>1202</v>
      </c>
      <c r="Q2" s="6" t="s">
        <v>1203</v>
      </c>
      <c r="R2" s="6" t="s">
        <v>1204</v>
      </c>
      <c r="S2" s="6" t="s">
        <v>373</v>
      </c>
      <c r="T2" s="6" t="s">
        <v>373</v>
      </c>
      <c r="U2" s="6" t="s">
        <v>373</v>
      </c>
      <c r="V2" s="6" t="s">
        <v>1205</v>
      </c>
      <c r="W2" s="7">
        <v>46147</v>
      </c>
      <c r="X2" s="7">
        <v>46147</v>
      </c>
      <c r="Y2" s="6" t="s">
        <v>1206</v>
      </c>
      <c r="Z2" s="9" t="s">
        <v>373</v>
      </c>
    </row>
    <row r="3" spans="1:26" ht="23.25" customHeight="1" x14ac:dyDescent="0.35">
      <c r="A3" s="8">
        <v>2</v>
      </c>
      <c r="B3" s="8" t="s">
        <v>1141</v>
      </c>
      <c r="C3" s="6" t="s">
        <v>1207</v>
      </c>
      <c r="D3" s="6" t="s">
        <v>1208</v>
      </c>
      <c r="E3" s="6" t="s">
        <v>1209</v>
      </c>
      <c r="F3" s="6" t="s">
        <v>1210</v>
      </c>
      <c r="G3" s="6" t="s">
        <v>1199</v>
      </c>
      <c r="H3" s="6" t="s">
        <v>228</v>
      </c>
      <c r="I3" s="6" t="s">
        <v>68</v>
      </c>
      <c r="J3" s="6" t="s">
        <v>68</v>
      </c>
      <c r="K3" s="6" t="str">
        <f>IF(OR(I3="",J3=""),"D",IF(OR(I3="D",J3="D"),"D",IF((CODE(I3)+CODE(J3)-130)&lt;=3,"A",IF((CODE(I3)+CODE(J3)-130)=4,"B","C"))))</f>
        <v>A</v>
      </c>
      <c r="L3" s="6" t="s">
        <v>69</v>
      </c>
      <c r="M3" s="7">
        <v>46147</v>
      </c>
      <c r="N3" s="6" t="s">
        <v>1211</v>
      </c>
      <c r="O3" s="6" t="s">
        <v>1212</v>
      </c>
      <c r="P3" s="6" t="s">
        <v>1202</v>
      </c>
      <c r="Q3" s="6" t="s">
        <v>1203</v>
      </c>
      <c r="R3" s="6" t="s">
        <v>1213</v>
      </c>
      <c r="S3" s="6" t="s">
        <v>1214</v>
      </c>
      <c r="T3" s="6" t="s">
        <v>1215</v>
      </c>
      <c r="U3" s="6" t="s">
        <v>1216</v>
      </c>
      <c r="V3" s="6" t="s">
        <v>1217</v>
      </c>
      <c r="W3" s="7">
        <v>46147</v>
      </c>
      <c r="X3" s="7">
        <v>46147</v>
      </c>
      <c r="Y3" s="6" t="s">
        <v>1218</v>
      </c>
      <c r="Z3" s="9" t="s">
        <v>1219</v>
      </c>
    </row>
    <row r="4" spans="1:26" ht="23.25" customHeight="1" x14ac:dyDescent="0.35">
      <c r="A4" s="8">
        <v>3</v>
      </c>
      <c r="B4" s="8" t="s">
        <v>1220</v>
      </c>
      <c r="C4" s="6" t="s">
        <v>1221</v>
      </c>
      <c r="D4" s="6" t="s">
        <v>1222</v>
      </c>
      <c r="E4" s="6" t="s">
        <v>1223</v>
      </c>
      <c r="F4" s="6" t="s">
        <v>1224</v>
      </c>
      <c r="G4" s="6" t="s">
        <v>1199</v>
      </c>
      <c r="H4" s="6" t="s">
        <v>228</v>
      </c>
      <c r="I4" s="6" t="s">
        <v>93</v>
      </c>
      <c r="J4" s="6" t="s">
        <v>68</v>
      </c>
      <c r="K4" s="6" t="str">
        <f>IF(OR(I4="",J4=""),"D",IF(OR(I4="D",J4="D"),"D",IF((CODE(I4)+CODE(J4)-130)&lt;=3,"A",IF((CODE(I4)+CODE(J4)-130)=4,"B","C"))))</f>
        <v>A</v>
      </c>
      <c r="L4" s="6" t="s">
        <v>69</v>
      </c>
      <c r="M4" s="7">
        <v>46147</v>
      </c>
      <c r="N4" s="6" t="s">
        <v>1225</v>
      </c>
      <c r="O4" s="6" t="s">
        <v>1212</v>
      </c>
      <c r="P4" s="6" t="s">
        <v>1202</v>
      </c>
      <c r="Q4" s="6" t="s">
        <v>1203</v>
      </c>
      <c r="R4" s="6" t="s">
        <v>1213</v>
      </c>
      <c r="S4" s="6" t="s">
        <v>1226</v>
      </c>
      <c r="T4" s="6" t="s">
        <v>1215</v>
      </c>
      <c r="U4" s="6" t="s">
        <v>1227</v>
      </c>
      <c r="V4" s="6" t="s">
        <v>1228</v>
      </c>
      <c r="W4" s="7">
        <v>46147</v>
      </c>
      <c r="X4" s="7">
        <v>46147</v>
      </c>
      <c r="Y4" s="6" t="s">
        <v>1229</v>
      </c>
      <c r="Z4" s="9" t="s">
        <v>1219</v>
      </c>
    </row>
  </sheetData>
  <conditionalFormatting sqref="K2:K100">
    <cfRule type="cellIs" dxfId="29" priority="2" operator="equal">
      <formula>"A"</formula>
    </cfRule>
    <cfRule type="cellIs" dxfId="28" priority="3" operator="equal">
      <formula>"B"</formula>
    </cfRule>
    <cfRule type="cellIs" dxfId="27" priority="4" operator="equal">
      <formula>"C"</formula>
    </cfRule>
    <cfRule type="cellIs" dxfId="26" priority="5" operator="equal">
      <formula>"D"</formula>
    </cfRule>
  </conditionalFormatting>
  <dataValidations count="4">
    <dataValidation type="list" allowBlank="1" sqref="G2:G100" xr:uid="{00000000-0002-0000-0F00-000000000000}">
      <formula1>"environment"</formula1>
      <formula2>0</formula2>
    </dataValidation>
    <dataValidation type="list" allowBlank="1" sqref="H2:H100" xr:uid="{00000000-0002-0000-0F00-000001000000}">
      <formula1>"draft,active,deprecated,blocked"</formula1>
      <formula2>0</formula2>
    </dataValidation>
    <dataValidation type="list" allowBlank="1" sqref="I2:J100" xr:uid="{00000000-0002-0000-0F00-000002000000}">
      <formula1>"A,B,C,D"</formula1>
      <formula2>0</formula2>
    </dataValidation>
    <dataValidation type="list" allowBlank="1" sqref="Z2:Z100" xr:uid="{00000000-0002-0000-0F00-000004000000}">
      <formula1>"mock,sandbox,sut-bypass,live,n/a"</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3" width="14" customWidth="1"/>
    <col min="14" max="15" width="22" customWidth="1"/>
    <col min="16" max="16" width="30" customWidth="1"/>
    <col min="17" max="19" width="18" customWidth="1"/>
    <col min="20" max="20" width="50" customWidth="1"/>
  </cols>
  <sheetData>
    <row r="1" spans="1:21"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1230</v>
      </c>
      <c r="O1" s="5" t="s">
        <v>1231</v>
      </c>
      <c r="P1" s="5" t="s">
        <v>1232</v>
      </c>
      <c r="Q1" s="5" t="s">
        <v>1233</v>
      </c>
      <c r="R1" s="5" t="s">
        <v>212</v>
      </c>
      <c r="S1" s="5" t="s">
        <v>213</v>
      </c>
      <c r="T1" s="5" t="s">
        <v>56</v>
      </c>
      <c r="U1" s="10" t="s">
        <v>1234</v>
      </c>
    </row>
    <row r="2" spans="1:21" ht="23.25" customHeight="1" x14ac:dyDescent="0.35">
      <c r="A2" s="8">
        <v>1</v>
      </c>
      <c r="B2" s="8" t="s">
        <v>1235</v>
      </c>
      <c r="C2" s="6" t="s">
        <v>1236</v>
      </c>
      <c r="D2" s="6" t="s">
        <v>1237</v>
      </c>
      <c r="E2" s="6" t="s">
        <v>1238</v>
      </c>
      <c r="F2" s="6" t="s">
        <v>1239</v>
      </c>
      <c r="G2" s="6" t="s">
        <v>1240</v>
      </c>
      <c r="H2" s="6" t="s">
        <v>366</v>
      </c>
      <c r="I2" s="6" t="s">
        <v>68</v>
      </c>
      <c r="J2" s="6" t="s">
        <v>68</v>
      </c>
      <c r="K2" s="6" t="str">
        <f>IF(OR(I2="",J2=""),"D",IF(OR(I2="D",J2="D"),"D",IF((CODE(I2)+CODE(J2)-130)&lt;=3,"A",IF((CODE(I2)+CODE(J2)-130)=4,"B","C"))))</f>
        <v>A</v>
      </c>
      <c r="L2" s="6" t="s">
        <v>69</v>
      </c>
      <c r="M2" s="7">
        <v>46147</v>
      </c>
      <c r="N2" s="6" t="s">
        <v>1241</v>
      </c>
      <c r="O2" s="6" t="s">
        <v>1242</v>
      </c>
      <c r="P2" s="6" t="s">
        <v>1243</v>
      </c>
      <c r="Q2" s="6" t="s">
        <v>1244</v>
      </c>
      <c r="R2" s="7">
        <v>46147</v>
      </c>
      <c r="S2" s="7">
        <v>46147</v>
      </c>
      <c r="T2" s="6" t="s">
        <v>1245</v>
      </c>
    </row>
  </sheetData>
  <conditionalFormatting sqref="K2:K200">
    <cfRule type="cellIs" dxfId="25" priority="2" operator="equal">
      <formula>"A"</formula>
    </cfRule>
    <cfRule type="cellIs" dxfId="24" priority="3" operator="equal">
      <formula>"B"</formula>
    </cfRule>
    <cfRule type="cellIs" dxfId="23" priority="4" operator="equal">
      <formula>"C"</formula>
    </cfRule>
    <cfRule type="cellIs" dxfId="22" priority="5" operator="equal">
      <formula>"D"</formula>
    </cfRule>
  </conditionalFormatting>
  <dataValidations count="3">
    <dataValidation type="list" allowBlank="1" sqref="G2:G200" xr:uid="{00000000-0002-0000-1000-000000000000}">
      <formula1>"test_set"</formula1>
      <formula2>0</formula2>
    </dataValidation>
    <dataValidation type="list" allowBlank="1" sqref="H2:H200" xr:uid="{00000000-0002-0000-1000-000001000000}">
      <formula1>"draft,active,complete,deprecated"</formula1>
      <formula2>0</formula2>
    </dataValidation>
    <dataValidation type="list" allowBlank="1" sqref="I2:J200" xr:uid="{00000000-0002-0000-1000-000002000000}">
      <formula1>"A,B,C,D"</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1"/>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6" width="14" customWidth="1"/>
    <col min="17" max="17" width="16" customWidth="1"/>
    <col min="18" max="20" width="18" customWidth="1"/>
    <col min="21" max="21" width="14" customWidth="1"/>
    <col min="22" max="22" width="30" customWidth="1"/>
    <col min="23" max="24" width="18" customWidth="1"/>
    <col min="25" max="25" width="50" customWidth="1"/>
  </cols>
  <sheetData>
    <row r="1" spans="1:25"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1246</v>
      </c>
      <c r="O1" s="5" t="s">
        <v>1105</v>
      </c>
      <c r="P1" s="5" t="s">
        <v>1247</v>
      </c>
      <c r="Q1" s="5" t="s">
        <v>1248</v>
      </c>
      <c r="R1" s="5" t="s">
        <v>1249</v>
      </c>
      <c r="S1" s="5" t="s">
        <v>1250</v>
      </c>
      <c r="T1" s="5" t="s">
        <v>1251</v>
      </c>
      <c r="U1" s="5" t="s">
        <v>1252</v>
      </c>
      <c r="V1" s="5" t="s">
        <v>1253</v>
      </c>
      <c r="W1" s="5" t="s">
        <v>212</v>
      </c>
      <c r="X1" s="5" t="s">
        <v>213</v>
      </c>
      <c r="Y1" s="5" t="s">
        <v>56</v>
      </c>
    </row>
  </sheetData>
  <conditionalFormatting sqref="K2:K500">
    <cfRule type="cellIs" dxfId="21" priority="2" operator="equal">
      <formula>"A"</formula>
    </cfRule>
    <cfRule type="cellIs" dxfId="20" priority="3" operator="equal">
      <formula>"B"</formula>
    </cfRule>
    <cfRule type="cellIs" dxfId="19" priority="4" operator="equal">
      <formula>"C"</formula>
    </cfRule>
    <cfRule type="cellIs" dxfId="18" priority="5" operator="equal">
      <formula>"D"</formula>
    </cfRule>
  </conditionalFormatting>
  <conditionalFormatting sqref="U2:U500">
    <cfRule type="cellIs" dxfId="17" priority="6" operator="equal">
      <formula>"pass"</formula>
    </cfRule>
    <cfRule type="cellIs" dxfId="16" priority="7" operator="equal">
      <formula>"fail"</formula>
    </cfRule>
    <cfRule type="cellIs" dxfId="15" priority="8" operator="equal">
      <formula>"skip"</formula>
    </cfRule>
    <cfRule type="cellIs" dxfId="14" priority="9" operator="equal">
      <formula>"blocked"</formula>
    </cfRule>
    <cfRule type="cellIs" dxfId="13" priority="10" operator="equal">
      <formula>"partial"</formula>
    </cfRule>
  </conditionalFormatting>
  <dataValidations count="5">
    <dataValidation type="list" allowBlank="1" sqref="G2:G500" xr:uid="{00000000-0002-0000-1100-000000000000}">
      <formula1>"test_run"</formula1>
      <formula2>0</formula2>
    </dataValidation>
    <dataValidation type="list" allowBlank="1" sqref="H2:H500" xr:uid="{00000000-0002-0000-1100-000001000000}">
      <formula1>"draft,in_progress,complete,blocked"</formula1>
      <formula2>0</formula2>
    </dataValidation>
    <dataValidation type="list" allowBlank="1" sqref="I2:J500" xr:uid="{00000000-0002-0000-1100-000002000000}">
      <formula1>"A,B,C,D"</formula1>
      <formula2>0</formula2>
    </dataValidation>
    <dataValidation type="list" allowBlank="1" sqref="P2:P500" xr:uid="{00000000-0002-0000-1100-000004000000}">
      <formula1>"playwright,cypress,testcafe"</formula1>
      <formula2>0</formula2>
    </dataValidation>
    <dataValidation type="list" allowBlank="1" sqref="U2:U500" xr:uid="{00000000-0002-0000-1100-000005000000}">
      <formula1>"pass,fail,skip,blocked,partial"</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1"/>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6" width="14" customWidth="1"/>
    <col min="17" max="18" width="12" customWidth="1"/>
    <col min="19" max="19" width="50" customWidth="1"/>
    <col min="20" max="20" width="36" customWidth="1"/>
    <col min="21" max="21" width="12" customWidth="1"/>
    <col min="22" max="22" width="14" customWidth="1"/>
    <col min="23" max="23" width="22" customWidth="1"/>
    <col min="24" max="25" width="18" customWidth="1"/>
    <col min="26" max="26" width="50" customWidth="1"/>
    <col min="27" max="27" width="22" customWidth="1"/>
    <col min="28" max="28" width="18" customWidth="1"/>
  </cols>
  <sheetData>
    <row r="1" spans="1:28"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1254</v>
      </c>
      <c r="O1" s="5" t="s">
        <v>938</v>
      </c>
      <c r="P1" s="5" t="s">
        <v>1105</v>
      </c>
      <c r="Q1" s="5" t="s">
        <v>1247</v>
      </c>
      <c r="R1" s="5" t="s">
        <v>30</v>
      </c>
      <c r="S1" s="5" t="s">
        <v>1255</v>
      </c>
      <c r="T1" s="5" t="s">
        <v>1256</v>
      </c>
      <c r="U1" s="5" t="s">
        <v>1257</v>
      </c>
      <c r="V1" s="5" t="s">
        <v>952</v>
      </c>
      <c r="W1" s="5" t="s">
        <v>1258</v>
      </c>
      <c r="X1" s="5" t="s">
        <v>212</v>
      </c>
      <c r="Y1" s="5" t="s">
        <v>213</v>
      </c>
      <c r="Z1" s="5" t="s">
        <v>56</v>
      </c>
      <c r="AA1" s="5" t="s">
        <v>1259</v>
      </c>
      <c r="AB1" s="5" t="s">
        <v>1260</v>
      </c>
    </row>
  </sheetData>
  <conditionalFormatting sqref="K2:K2000">
    <cfRule type="cellIs" dxfId="12" priority="2" operator="equal">
      <formula>"A"</formula>
    </cfRule>
    <cfRule type="cellIs" dxfId="11" priority="3" operator="equal">
      <formula>"B"</formula>
    </cfRule>
    <cfRule type="cellIs" dxfId="10" priority="4" operator="equal">
      <formula>"C"</formula>
    </cfRule>
    <cfRule type="cellIs" dxfId="9" priority="5" operator="equal">
      <formula>"D"</formula>
    </cfRule>
  </conditionalFormatting>
  <conditionalFormatting sqref="R2:R2000">
    <cfRule type="cellIs" dxfId="8" priority="6" operator="equal">
      <formula>"pass"</formula>
    </cfRule>
    <cfRule type="cellIs" dxfId="7" priority="7" operator="equal">
      <formula>"fail"</formula>
    </cfRule>
    <cfRule type="cellIs" dxfId="6" priority="8" operator="equal">
      <formula>"skip"</formula>
    </cfRule>
    <cfRule type="cellIs" dxfId="5" priority="9" operator="equal">
      <formula>"blocked"</formula>
    </cfRule>
    <cfRule type="cellIs" dxfId="4" priority="10" operator="equal">
      <formula>"partial"</formula>
    </cfRule>
  </conditionalFormatting>
  <dataValidations count="6">
    <dataValidation type="list" allowBlank="1" sqref="G2:G1001" xr:uid="{00000000-0002-0000-1200-000000000000}">
      <formula1>"test_run_result"</formula1>
      <formula2>0</formula2>
    </dataValidation>
    <dataValidation type="list" allowBlank="1" sqref="H2:H1001" xr:uid="{00000000-0002-0000-1200-000001000000}">
      <formula1>"draft,active,deprecated"</formula1>
      <formula2>0</formula2>
    </dataValidation>
    <dataValidation type="list" allowBlank="1" sqref="I2:J1001" xr:uid="{00000000-0002-0000-1200-000002000000}">
      <formula1>"A,B,C,D"</formula1>
      <formula2>0</formula2>
    </dataValidation>
    <dataValidation type="list" allowBlank="1" sqref="Q2:Q1001" xr:uid="{00000000-0002-0000-1200-000004000000}">
      <formula1>"playwright,cypress,testcafe"</formula1>
      <formula2>0</formula2>
    </dataValidation>
    <dataValidation type="list" allowBlank="1" sqref="R2:R1001" xr:uid="{00000000-0002-0000-1200-000005000000}">
      <formula1>"pass,fail,skip,blocked,partial"</formula1>
      <formula2>0</formula2>
    </dataValidation>
    <dataValidation type="list" allowBlank="1" sqref="W2:W1001" xr:uid="{00000000-0002-0000-1200-000006000000}">
      <formula1>"control_point,trigger_point,data_collection_point,assertion,n/a"</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
  <sheetViews>
    <sheetView workbookViewId="0"/>
  </sheetViews>
  <sheetFormatPr defaultRowHeight="14.5" x14ac:dyDescent="0.35"/>
  <sheetData>
    <row r="1" spans="1:23" x14ac:dyDescent="0.35">
      <c r="A1" s="21" t="s">
        <v>1261</v>
      </c>
      <c r="B1" s="21" t="s">
        <v>1262</v>
      </c>
      <c r="C1" s="21" t="s">
        <v>1263</v>
      </c>
      <c r="D1" s="21" t="s">
        <v>1247</v>
      </c>
      <c r="E1" s="21" t="s">
        <v>1264</v>
      </c>
      <c r="F1" s="21" t="s">
        <v>952</v>
      </c>
      <c r="G1" s="21" t="s">
        <v>1265</v>
      </c>
      <c r="H1" s="21" t="s">
        <v>1266</v>
      </c>
      <c r="I1" s="21" t="s">
        <v>1257</v>
      </c>
      <c r="J1" s="21" t="s">
        <v>30</v>
      </c>
      <c r="K1" s="21" t="s">
        <v>1267</v>
      </c>
      <c r="L1" s="21" t="s">
        <v>1268</v>
      </c>
      <c r="M1" s="21" t="s">
        <v>1269</v>
      </c>
      <c r="N1" s="21" t="s">
        <v>1270</v>
      </c>
      <c r="O1" s="21" t="s">
        <v>1271</v>
      </c>
      <c r="P1" s="21" t="s">
        <v>1272</v>
      </c>
      <c r="Q1" s="21" t="s">
        <v>1273</v>
      </c>
      <c r="R1" s="21" t="s">
        <v>1274</v>
      </c>
      <c r="S1" s="21" t="s">
        <v>1275</v>
      </c>
      <c r="T1" s="21" t="s">
        <v>1276</v>
      </c>
      <c r="U1" s="21" t="s">
        <v>1277</v>
      </c>
      <c r="V1" s="21" t="s">
        <v>1278</v>
      </c>
      <c r="W1" s="21" t="s">
        <v>212</v>
      </c>
    </row>
  </sheetData>
  <pageMargins left="0.75" right="0.75" top="1" bottom="1" header="0.5" footer="0.5"/>
  <headerFooter>
    <oddHeader>&amp;R&amp;"Aptos"&amp;10&amp;K000000 Interní / Internal&amp;1#_x000D_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
  <sheetViews>
    <sheetView workbookViewId="0"/>
  </sheetViews>
  <sheetFormatPr defaultRowHeight="14.5" x14ac:dyDescent="0.35"/>
  <sheetData>
    <row r="1" spans="1:13" x14ac:dyDescent="0.35">
      <c r="A1" s="21" t="s">
        <v>1261</v>
      </c>
      <c r="B1" s="21" t="s">
        <v>1262</v>
      </c>
      <c r="C1" s="21" t="s">
        <v>1279</v>
      </c>
      <c r="D1" s="21" t="s">
        <v>34</v>
      </c>
      <c r="E1" s="21" t="s">
        <v>1280</v>
      </c>
      <c r="F1" s="21" t="s">
        <v>1281</v>
      </c>
      <c r="G1" s="21" t="s">
        <v>1282</v>
      </c>
      <c r="H1" s="21" t="s">
        <v>1283</v>
      </c>
      <c r="I1" s="21" t="s">
        <v>1284</v>
      </c>
      <c r="J1" s="21" t="s">
        <v>30</v>
      </c>
      <c r="K1" s="21" t="s">
        <v>1257</v>
      </c>
      <c r="L1" s="21" t="s">
        <v>1285</v>
      </c>
      <c r="M1" s="21" t="s">
        <v>56</v>
      </c>
    </row>
  </sheetData>
  <pageMargins left="0.75" right="0.75" top="1" bottom="1" header="0.5" footer="0.5"/>
  <headerFooter>
    <oddHeader>&amp;R&amp;"Aptos"&amp;10&amp;K000000 Interní / Internal&amp;1#_x000D_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1"/>
  <sheetViews>
    <sheetView zoomScaleNormal="100" workbookViewId="0">
      <pane ySplit="1" topLeftCell="A2" activePane="bottomLeft" state="frozen"/>
      <selection pane="bottomLeft"/>
    </sheetView>
  </sheetViews>
  <sheetFormatPr defaultColWidth="8.6328125" defaultRowHeight="14.5" x14ac:dyDescent="0.35"/>
  <cols>
    <col min="1" max="1" width="8" customWidth="1"/>
    <col min="2" max="2" width="16" customWidth="1"/>
    <col min="3" max="4" width="36" customWidth="1"/>
    <col min="5" max="6" width="50" customWidth="1"/>
    <col min="7" max="8" width="14" customWidth="1"/>
    <col min="9" max="11" width="10" customWidth="1"/>
    <col min="12" max="13" width="14" customWidth="1"/>
    <col min="14" max="14" width="22" customWidth="1"/>
    <col min="15" max="15" width="14" customWidth="1"/>
    <col min="16" max="16" width="18" customWidth="1"/>
    <col min="17" max="17" width="50" customWidth="1"/>
    <col min="18" max="20" width="30" customWidth="1"/>
    <col min="21" max="21" width="22" customWidth="1"/>
    <col min="22" max="23" width="18" customWidth="1"/>
    <col min="24" max="24" width="50" customWidth="1"/>
    <col min="25" max="25" width="14" customWidth="1"/>
    <col min="26" max="26" width="22" customWidth="1"/>
  </cols>
  <sheetData>
    <row r="1" spans="1:39" ht="27.75" customHeight="1" x14ac:dyDescent="0.35">
      <c r="A1" s="5" t="s">
        <v>42</v>
      </c>
      <c r="B1" s="5" t="s">
        <v>43</v>
      </c>
      <c r="C1" s="5" t="s">
        <v>44</v>
      </c>
      <c r="D1" s="5" t="s">
        <v>45</v>
      </c>
      <c r="E1" s="5" t="s">
        <v>46</v>
      </c>
      <c r="F1" s="5" t="s">
        <v>47</v>
      </c>
      <c r="G1" s="5" t="s">
        <v>201</v>
      </c>
      <c r="H1" s="5" t="s">
        <v>202</v>
      </c>
      <c r="I1" s="5" t="s">
        <v>52</v>
      </c>
      <c r="J1" s="5" t="s">
        <v>53</v>
      </c>
      <c r="K1" s="5" t="s">
        <v>28</v>
      </c>
      <c r="L1" s="5" t="s">
        <v>54</v>
      </c>
      <c r="M1" s="5" t="s">
        <v>55</v>
      </c>
      <c r="N1" s="5" t="s">
        <v>1286</v>
      </c>
      <c r="O1" s="5" t="s">
        <v>1287</v>
      </c>
      <c r="P1" s="5" t="s">
        <v>1288</v>
      </c>
      <c r="Q1" s="5" t="s">
        <v>1289</v>
      </c>
      <c r="R1" s="5" t="s">
        <v>987</v>
      </c>
      <c r="S1" s="5" t="s">
        <v>1255</v>
      </c>
      <c r="T1" s="5" t="s">
        <v>1290</v>
      </c>
      <c r="U1" s="5" t="s">
        <v>1291</v>
      </c>
      <c r="V1" s="5" t="s">
        <v>212</v>
      </c>
      <c r="W1" s="5" t="s">
        <v>213</v>
      </c>
      <c r="X1" s="5" t="s">
        <v>56</v>
      </c>
      <c r="Y1" s="5" t="s">
        <v>660</v>
      </c>
      <c r="Z1" s="5" t="s">
        <v>659</v>
      </c>
      <c r="AA1" s="15" t="s">
        <v>57</v>
      </c>
      <c r="AB1" s="15" t="s">
        <v>58</v>
      </c>
      <c r="AC1" s="21" t="s">
        <v>1292</v>
      </c>
      <c r="AD1" s="21" t="s">
        <v>1281</v>
      </c>
      <c r="AE1" s="21" t="s">
        <v>1293</v>
      </c>
      <c r="AF1" s="21" t="s">
        <v>1294</v>
      </c>
      <c r="AG1" s="21" t="s">
        <v>1295</v>
      </c>
      <c r="AH1" s="21" t="s">
        <v>1296</v>
      </c>
      <c r="AI1" s="21" t="s">
        <v>1297</v>
      </c>
      <c r="AJ1" s="21" t="s">
        <v>1298</v>
      </c>
      <c r="AK1" s="21" t="s">
        <v>1299</v>
      </c>
      <c r="AL1" s="21" t="s">
        <v>1300</v>
      </c>
      <c r="AM1" s="21" t="s">
        <v>1273</v>
      </c>
    </row>
  </sheetData>
  <autoFilter ref="A1:AB1" xr:uid="{00000000-0009-0000-0000-000015000000}"/>
  <conditionalFormatting sqref="K2:K1000">
    <cfRule type="cellIs" dxfId="3" priority="2" operator="equal">
      <formula>"A"</formula>
    </cfRule>
    <cfRule type="cellIs" dxfId="2" priority="3" operator="equal">
      <formula>"B"</formula>
    </cfRule>
    <cfRule type="cellIs" dxfId="1" priority="4" operator="equal">
      <formula>"C"</formula>
    </cfRule>
    <cfRule type="cellIs" dxfId="0" priority="5" operator="equal">
      <formula>"D"</formula>
    </cfRule>
  </conditionalFormatting>
  <dataValidations count="5">
    <dataValidation type="list" allowBlank="1" sqref="G2:G1000" xr:uid="{00000000-0002-0000-1500-000000000000}">
      <formula1>"bug"</formula1>
      <formula2>0</formula2>
    </dataValidation>
    <dataValidation type="list" allowBlank="1" sqref="H2:H1000" xr:uid="{00000000-0002-0000-1500-000001000000}">
      <formula1>"open,in_progress,fixed,wont_fix,duplicate,blocked"</formula1>
      <formula2>0</formula2>
    </dataValidation>
    <dataValidation type="list" allowBlank="1" sqref="I2:J1000" xr:uid="{00000000-0002-0000-1500-000002000000}">
      <formula1>"A,B,C,D"</formula1>
      <formula2>0</formula2>
    </dataValidation>
    <dataValidation type="list" allowBlank="1" sqref="U2:U1000" xr:uid="{00000000-0002-0000-1500-000004000000}">
      <formula1>"SKIP,COVER,WORKAROUND"</formula1>
      <formula2>0</formula2>
    </dataValidation>
    <dataValidation type="list" allowBlank="1" sqref="Y2:Y1000" xr:uid="{00000000-0002-0000-1500-000005000000}">
      <formula1>"smoke,happy,exception,negative,regression,exhaustive"</formula1>
      <formula2>0</formula2>
    </dataValidation>
  </dataValidation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23"/>
  <sheetViews>
    <sheetView zoomScaleNormal="100" workbookViewId="0"/>
  </sheetViews>
  <sheetFormatPr defaultColWidth="8.6328125" defaultRowHeight="14.5" x14ac:dyDescent="0.35"/>
  <cols>
    <col min="1" max="1" width="36" customWidth="1"/>
    <col min="2" max="3" width="24" customWidth="1"/>
  </cols>
  <sheetData>
    <row r="1" spans="1:3" ht="17.25" customHeight="1" x14ac:dyDescent="0.4">
      <c r="A1" s="1" t="s">
        <v>1301</v>
      </c>
    </row>
    <row r="3" spans="1:3" ht="15" customHeight="1" x14ac:dyDescent="0.35">
      <c r="A3" s="11" t="s">
        <v>1302</v>
      </c>
    </row>
    <row r="4" spans="1:3" ht="15" customHeight="1" x14ac:dyDescent="0.35">
      <c r="A4" s="12" t="s">
        <v>1303</v>
      </c>
      <c r="B4" s="12" t="s">
        <v>1304</v>
      </c>
      <c r="C4" s="12" t="s">
        <v>1305</v>
      </c>
    </row>
    <row r="5" spans="1:3" ht="15" customHeight="1" x14ac:dyDescent="0.35">
      <c r="A5" s="9" t="s">
        <v>1306</v>
      </c>
      <c r="B5" s="9">
        <f>COUNTIF('07_TestRunResults'!P2:P2000,"ENV-TST")</f>
        <v>0</v>
      </c>
      <c r="C5" s="13" t="str">
        <f>IFERROR(COUNTIFS('07_TestRunResults'!P2:P2000,"ENV-TST",'07_TestRunResults'!R2:R2000,"pass")/COUNTIF('07_TestRunResults'!P2:P2000,"ENV-TST"),"-")</f>
        <v>-</v>
      </c>
    </row>
    <row r="6" spans="1:3" ht="15" customHeight="1" x14ac:dyDescent="0.35">
      <c r="A6" s="9" t="s">
        <v>1307</v>
      </c>
      <c r="B6" s="9">
        <f>COUNTIF('07_TestRunResults'!P2:P2000,"ENV-DMO")</f>
        <v>0</v>
      </c>
      <c r="C6" s="13" t="str">
        <f>IFERROR(COUNTIFS('07_TestRunResults'!P2:P2000,"ENV-DMO",'07_TestRunResults'!R2:R2000,"pass")/COUNTIF('07_TestRunResults'!P2:P2000,"ENV-DMO"),"-")</f>
        <v>-</v>
      </c>
    </row>
    <row r="7" spans="1:3" ht="15" customHeight="1" x14ac:dyDescent="0.35">
      <c r="A7" s="9" t="s">
        <v>1308</v>
      </c>
      <c r="B7" s="9">
        <f>COUNTIF('07_TestRunResults'!P2:P2000,"ENV-PUB")</f>
        <v>0</v>
      </c>
      <c r="C7" s="13" t="str">
        <f>IFERROR(COUNTIFS('07_TestRunResults'!P2:P2000,"ENV-PUB",'07_TestRunResults'!R2:R2000,"pass")/COUNTIF('07_TestRunResults'!P2:P2000,"ENV-PUB"),"-")</f>
        <v>-</v>
      </c>
    </row>
    <row r="10" spans="1:3" ht="15" customHeight="1" x14ac:dyDescent="0.35">
      <c r="A10" s="11" t="s">
        <v>1309</v>
      </c>
    </row>
    <row r="11" spans="1:3" ht="15" customHeight="1" x14ac:dyDescent="0.35">
      <c r="A11" s="12" t="s">
        <v>1310</v>
      </c>
      <c r="B11" s="12" t="s">
        <v>1311</v>
      </c>
      <c r="C11" s="12" t="s">
        <v>1312</v>
      </c>
    </row>
    <row r="12" spans="1:3" ht="15" customHeight="1" x14ac:dyDescent="0.35">
      <c r="A12" s="9" t="s">
        <v>662</v>
      </c>
      <c r="B12" s="9">
        <f>COUNTIFS('07_TestRunResults'!O2:O2000,"TC-CP-001",'07_TestRunResults'!R2:R2000,"pass")</f>
        <v>0</v>
      </c>
      <c r="C12" s="9">
        <f>COUNTIFS('07_TestRunResults'!O2:O2000,"TC-CP-001",'07_TestRunResults'!R2:R2000,"fail")</f>
        <v>0</v>
      </c>
    </row>
    <row r="13" spans="1:3" ht="15" customHeight="1" x14ac:dyDescent="0.35">
      <c r="A13" s="9" t="s">
        <v>677</v>
      </c>
      <c r="B13" s="9">
        <f>COUNTIFS('07_TestRunResults'!O2:O2000,"TC-CP-002",'07_TestRunResults'!R2:R2000,"pass")</f>
        <v>0</v>
      </c>
      <c r="C13" s="9">
        <f>COUNTIFS('07_TestRunResults'!O2:O2000,"TC-CP-002",'07_TestRunResults'!R2:R2000,"fail")</f>
        <v>0</v>
      </c>
    </row>
    <row r="14" spans="1:3" ht="15" customHeight="1" x14ac:dyDescent="0.35">
      <c r="A14" s="9" t="s">
        <v>685</v>
      </c>
      <c r="B14" s="9">
        <f>COUNTIFS('07_TestRunResults'!O2:O2000,"TC-CP-003",'07_TestRunResults'!R2:R2000,"pass")</f>
        <v>0</v>
      </c>
      <c r="C14" s="9">
        <f>COUNTIFS('07_TestRunResults'!O2:O2000,"TC-CP-003",'07_TestRunResults'!R2:R2000,"fail")</f>
        <v>0</v>
      </c>
    </row>
    <row r="15" spans="1:3" ht="15" customHeight="1" x14ac:dyDescent="0.35">
      <c r="A15" s="9" t="s">
        <v>693</v>
      </c>
      <c r="B15" s="9">
        <f>COUNTIFS('07_TestRunResults'!O2:O2000,"TC-CP-004",'07_TestRunResults'!R2:R2000,"pass")</f>
        <v>0</v>
      </c>
      <c r="C15" s="9">
        <f>COUNTIFS('07_TestRunResults'!O2:O2000,"TC-CP-004",'07_TestRunResults'!R2:R2000,"fail")</f>
        <v>0</v>
      </c>
    </row>
    <row r="18" spans="1:2" ht="15" customHeight="1" x14ac:dyDescent="0.35">
      <c r="A18" s="11" t="s">
        <v>1313</v>
      </c>
    </row>
    <row r="19" spans="1:2" ht="15" customHeight="1" x14ac:dyDescent="0.35">
      <c r="A19" s="12" t="s">
        <v>1314</v>
      </c>
      <c r="B19" s="12" t="s">
        <v>1315</v>
      </c>
    </row>
    <row r="20" spans="1:2" ht="15" customHeight="1" x14ac:dyDescent="0.35">
      <c r="A20" s="9" t="s">
        <v>68</v>
      </c>
      <c r="B20" s="9">
        <f>COUNTIFS('08_Bugs'!K2:K1000,"A",'08_Bugs'!H2:H1000,"open")</f>
        <v>0</v>
      </c>
    </row>
    <row r="21" spans="1:2" ht="15" customHeight="1" x14ac:dyDescent="0.35">
      <c r="A21" s="9" t="s">
        <v>93</v>
      </c>
      <c r="B21" s="9">
        <f>COUNTIFS('08_Bugs'!K2:K1000,"B",'08_Bugs'!H2:H1000,"open")</f>
        <v>0</v>
      </c>
    </row>
    <row r="22" spans="1:2" ht="15" customHeight="1" x14ac:dyDescent="0.35">
      <c r="A22" s="9" t="s">
        <v>367</v>
      </c>
      <c r="B22" s="9">
        <f>COUNTIFS('08_Bugs'!K2:K1000,"C",'08_Bugs'!H2:H1000,"open")</f>
        <v>0</v>
      </c>
    </row>
    <row r="23" spans="1:2" ht="15" customHeight="1" x14ac:dyDescent="0.35">
      <c r="A23" s="9" t="s">
        <v>425</v>
      </c>
      <c r="B23" s="9">
        <f>COUNTIFS('08_Bugs'!K2:K1000,"D",'08_Bugs'!H2:H1000,"open")</f>
        <v>0</v>
      </c>
    </row>
  </sheetData>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63"/>
  <sheetViews>
    <sheetView zoomScaleNormal="100" workbookViewId="0">
      <pane ySplit="3" topLeftCell="A4" activePane="bottomLeft" state="frozen"/>
      <selection pane="bottomLeft"/>
    </sheetView>
  </sheetViews>
  <sheetFormatPr defaultColWidth="8.6328125" defaultRowHeight="14.5" x14ac:dyDescent="0.35"/>
  <cols>
    <col min="1" max="1" width="26" customWidth="1"/>
    <col min="2" max="2" width="36" customWidth="1"/>
    <col min="3" max="3" width="60" customWidth="1"/>
  </cols>
  <sheetData>
    <row r="1" spans="1:3" ht="17.25" customHeight="1" x14ac:dyDescent="0.4">
      <c r="A1" s="42" t="s">
        <v>1316</v>
      </c>
      <c r="B1" s="43"/>
      <c r="C1" s="43"/>
    </row>
    <row r="3" spans="1:3" ht="25.5" customHeight="1" x14ac:dyDescent="0.35">
      <c r="A3" s="12" t="s">
        <v>1317</v>
      </c>
      <c r="B3" s="12" t="s">
        <v>1318</v>
      </c>
      <c r="C3" s="12" t="s">
        <v>1319</v>
      </c>
    </row>
    <row r="4" spans="1:3" ht="23.25" customHeight="1" x14ac:dyDescent="0.35">
      <c r="A4" s="3" t="s">
        <v>1320</v>
      </c>
      <c r="B4" s="3" t="s">
        <v>1320</v>
      </c>
      <c r="C4" s="3" t="s">
        <v>1321</v>
      </c>
    </row>
    <row r="5" spans="1:3" ht="15" customHeight="1" x14ac:dyDescent="0.35">
      <c r="A5" s="3" t="s">
        <v>1322</v>
      </c>
      <c r="B5" s="3" t="s">
        <v>1323</v>
      </c>
      <c r="C5" s="3" t="s">
        <v>1324</v>
      </c>
    </row>
    <row r="6" spans="1:3" ht="15" customHeight="1" x14ac:dyDescent="0.35">
      <c r="A6" s="3" t="s">
        <v>246</v>
      </c>
      <c r="B6" s="3" t="s">
        <v>1325</v>
      </c>
      <c r="C6" s="3" t="s">
        <v>1326</v>
      </c>
    </row>
    <row r="7" spans="1:3" ht="15" customHeight="1" x14ac:dyDescent="0.35">
      <c r="A7" s="3" t="s">
        <v>1327</v>
      </c>
      <c r="B7" s="3" t="s">
        <v>1328</v>
      </c>
      <c r="C7" s="3" t="s">
        <v>1329</v>
      </c>
    </row>
    <row r="8" spans="1:3" ht="15" customHeight="1" x14ac:dyDescent="0.35">
      <c r="A8" s="3" t="s">
        <v>1330</v>
      </c>
      <c r="B8" s="3" t="s">
        <v>1331</v>
      </c>
      <c r="C8" s="3" t="s">
        <v>1332</v>
      </c>
    </row>
    <row r="9" spans="1:3" ht="15" customHeight="1" x14ac:dyDescent="0.35">
      <c r="A9" s="3" t="s">
        <v>1333</v>
      </c>
      <c r="B9" s="3" t="s">
        <v>1334</v>
      </c>
      <c r="C9" s="3" t="s">
        <v>1335</v>
      </c>
    </row>
    <row r="10" spans="1:3" ht="15" customHeight="1" x14ac:dyDescent="0.35">
      <c r="A10" s="3" t="s">
        <v>1336</v>
      </c>
      <c r="B10" s="3" t="s">
        <v>1337</v>
      </c>
      <c r="C10" s="3" t="s">
        <v>1338</v>
      </c>
    </row>
    <row r="11" spans="1:3" ht="15" customHeight="1" x14ac:dyDescent="0.35">
      <c r="A11" s="3" t="s">
        <v>1339</v>
      </c>
      <c r="B11" s="3" t="s">
        <v>1339</v>
      </c>
      <c r="C11" s="3" t="s">
        <v>1340</v>
      </c>
    </row>
    <row r="12" spans="1:3" ht="15" customHeight="1" x14ac:dyDescent="0.35">
      <c r="A12" s="3" t="s">
        <v>1341</v>
      </c>
      <c r="B12" s="3" t="s">
        <v>1341</v>
      </c>
      <c r="C12" s="3" t="s">
        <v>1342</v>
      </c>
    </row>
    <row r="13" spans="1:3" ht="15" customHeight="1" x14ac:dyDescent="0.35">
      <c r="A13" s="3" t="s">
        <v>1343</v>
      </c>
      <c r="B13" s="3" t="s">
        <v>1344</v>
      </c>
      <c r="C13" s="3" t="s">
        <v>1345</v>
      </c>
    </row>
    <row r="14" spans="1:3" ht="15" customHeight="1" x14ac:dyDescent="0.35">
      <c r="A14" s="3" t="s">
        <v>227</v>
      </c>
      <c r="B14" s="3" t="s">
        <v>1346</v>
      </c>
      <c r="C14" s="3" t="s">
        <v>1347</v>
      </c>
    </row>
    <row r="15" spans="1:3" ht="15" customHeight="1" x14ac:dyDescent="0.35">
      <c r="A15" s="3" t="s">
        <v>666</v>
      </c>
      <c r="B15" s="3" t="s">
        <v>1348</v>
      </c>
      <c r="C15" s="3" t="s">
        <v>1349</v>
      </c>
    </row>
    <row r="16" spans="1:3" ht="23.25" customHeight="1" x14ac:dyDescent="0.35">
      <c r="A16" s="3" t="s">
        <v>1350</v>
      </c>
      <c r="B16" s="3" t="s">
        <v>1351</v>
      </c>
      <c r="C16" s="3" t="s">
        <v>1352</v>
      </c>
    </row>
    <row r="17" spans="1:3" ht="15" customHeight="1" x14ac:dyDescent="0.35">
      <c r="A17" s="3" t="s">
        <v>1353</v>
      </c>
      <c r="B17" s="3" t="s">
        <v>1354</v>
      </c>
      <c r="C17" s="3" t="s">
        <v>1355</v>
      </c>
    </row>
    <row r="18" spans="1:3" ht="23.25" customHeight="1" x14ac:dyDescent="0.35">
      <c r="A18" s="3" t="s">
        <v>1356</v>
      </c>
      <c r="B18" s="3" t="s">
        <v>1356</v>
      </c>
      <c r="C18" s="3" t="s">
        <v>1357</v>
      </c>
    </row>
    <row r="19" spans="1:3" ht="23.25" customHeight="1" x14ac:dyDescent="0.35">
      <c r="A19" s="3" t="s">
        <v>1358</v>
      </c>
      <c r="B19" s="3" t="s">
        <v>1358</v>
      </c>
      <c r="C19" s="3" t="s">
        <v>1359</v>
      </c>
    </row>
    <row r="20" spans="1:3" ht="23.25" customHeight="1" x14ac:dyDescent="0.35">
      <c r="A20" s="3" t="s">
        <v>38</v>
      </c>
      <c r="B20" s="3" t="s">
        <v>38</v>
      </c>
      <c r="C20" s="3" t="s">
        <v>1360</v>
      </c>
    </row>
    <row r="21" spans="1:3" ht="23.25" customHeight="1" x14ac:dyDescent="0.35">
      <c r="A21" s="3" t="s">
        <v>40</v>
      </c>
      <c r="B21" s="3" t="s">
        <v>40</v>
      </c>
      <c r="C21" s="3" t="s">
        <v>1361</v>
      </c>
    </row>
    <row r="22" spans="1:3" ht="23.25" customHeight="1" x14ac:dyDescent="0.35">
      <c r="A22" s="3" t="s">
        <v>1362</v>
      </c>
      <c r="B22" s="3" t="s">
        <v>1362</v>
      </c>
      <c r="C22" s="3" t="s">
        <v>1363</v>
      </c>
    </row>
    <row r="23" spans="1:3" ht="15" customHeight="1" x14ac:dyDescent="0.35">
      <c r="A23" s="3" t="s">
        <v>1364</v>
      </c>
      <c r="B23" s="3" t="s">
        <v>1364</v>
      </c>
      <c r="C23" s="3" t="s">
        <v>1365</v>
      </c>
    </row>
    <row r="24" spans="1:3" ht="15" customHeight="1" x14ac:dyDescent="0.35">
      <c r="A24" s="3" t="s">
        <v>1366</v>
      </c>
      <c r="B24" s="3" t="s">
        <v>1366</v>
      </c>
      <c r="C24" s="3" t="s">
        <v>1367</v>
      </c>
    </row>
    <row r="25" spans="1:3" ht="15" customHeight="1" x14ac:dyDescent="0.35">
      <c r="A25" s="3" t="s">
        <v>1368</v>
      </c>
      <c r="B25" s="3" t="s">
        <v>1368</v>
      </c>
      <c r="C25" s="3" t="s">
        <v>1369</v>
      </c>
    </row>
    <row r="26" spans="1:3" ht="23.25" customHeight="1" x14ac:dyDescent="0.35">
      <c r="A26" s="3" t="s">
        <v>1370</v>
      </c>
      <c r="B26" s="3" t="s">
        <v>1370</v>
      </c>
      <c r="C26" s="3" t="s">
        <v>1371</v>
      </c>
    </row>
    <row r="27" spans="1:3" ht="15" customHeight="1" x14ac:dyDescent="0.35">
      <c r="A27" s="3" t="s">
        <v>1372</v>
      </c>
      <c r="B27" s="3" t="s">
        <v>1372</v>
      </c>
      <c r="C27" s="3" t="s">
        <v>1373</v>
      </c>
    </row>
    <row r="28" spans="1:3" ht="15" customHeight="1" x14ac:dyDescent="0.35">
      <c r="A28" s="3" t="s">
        <v>1374</v>
      </c>
      <c r="B28" s="3" t="s">
        <v>1375</v>
      </c>
      <c r="C28" s="3" t="s">
        <v>1376</v>
      </c>
    </row>
    <row r="29" spans="1:3" ht="15" customHeight="1" x14ac:dyDescent="0.35">
      <c r="A29" s="3" t="s">
        <v>1377</v>
      </c>
      <c r="B29" s="3" t="s">
        <v>1378</v>
      </c>
      <c r="C29" s="3" t="s">
        <v>1379</v>
      </c>
    </row>
    <row r="30" spans="1:3" ht="15" customHeight="1" x14ac:dyDescent="0.35">
      <c r="A30" s="3" t="s">
        <v>1380</v>
      </c>
      <c r="B30" s="3" t="s">
        <v>1381</v>
      </c>
      <c r="C30" s="3" t="s">
        <v>1382</v>
      </c>
    </row>
    <row r="31" spans="1:3" ht="15" customHeight="1" x14ac:dyDescent="0.35">
      <c r="A31" s="3" t="s">
        <v>1383</v>
      </c>
      <c r="B31" s="3" t="s">
        <v>1384</v>
      </c>
      <c r="C31" s="3" t="s">
        <v>1385</v>
      </c>
    </row>
    <row r="32" spans="1:3" ht="15" customHeight="1" x14ac:dyDescent="0.35">
      <c r="A32" s="3" t="s">
        <v>1386</v>
      </c>
      <c r="B32" s="3" t="s">
        <v>1387</v>
      </c>
      <c r="C32" s="3" t="s">
        <v>1388</v>
      </c>
    </row>
    <row r="33" spans="1:3" ht="34.5" customHeight="1" x14ac:dyDescent="0.35">
      <c r="A33" s="3" t="s">
        <v>1389</v>
      </c>
      <c r="B33" s="3" t="s">
        <v>1390</v>
      </c>
      <c r="C33" s="3" t="s">
        <v>1391</v>
      </c>
    </row>
    <row r="34" spans="1:3" ht="23.25" customHeight="1" x14ac:dyDescent="0.35">
      <c r="A34" s="3" t="s">
        <v>1392</v>
      </c>
      <c r="B34" s="3" t="s">
        <v>1393</v>
      </c>
      <c r="C34" s="3" t="s">
        <v>1394</v>
      </c>
    </row>
    <row r="35" spans="1:3" ht="15" customHeight="1" x14ac:dyDescent="0.35">
      <c r="A35" s="3" t="s">
        <v>1395</v>
      </c>
      <c r="B35" s="3" t="s">
        <v>1396</v>
      </c>
      <c r="C35" s="3" t="s">
        <v>1397</v>
      </c>
    </row>
    <row r="36" spans="1:3" ht="15" customHeight="1" x14ac:dyDescent="0.35">
      <c r="A36" s="3" t="s">
        <v>1398</v>
      </c>
      <c r="B36" s="3" t="s">
        <v>1399</v>
      </c>
      <c r="C36" s="3" t="s">
        <v>1400</v>
      </c>
    </row>
    <row r="37" spans="1:3" ht="23.25" customHeight="1" x14ac:dyDescent="0.35">
      <c r="A37" s="3" t="s">
        <v>1401</v>
      </c>
      <c r="B37" s="3" t="s">
        <v>1402</v>
      </c>
      <c r="C37" s="3" t="s">
        <v>1403</v>
      </c>
    </row>
    <row r="38" spans="1:3" ht="23.25" customHeight="1" x14ac:dyDescent="0.35">
      <c r="A38" s="3" t="s">
        <v>1404</v>
      </c>
      <c r="B38" s="3" t="s">
        <v>1405</v>
      </c>
      <c r="C38" s="3" t="s">
        <v>1406</v>
      </c>
    </row>
    <row r="39" spans="1:3" ht="34.5" customHeight="1" x14ac:dyDescent="0.35">
      <c r="A39" s="3" t="s">
        <v>1407</v>
      </c>
      <c r="B39" s="3" t="s">
        <v>1408</v>
      </c>
      <c r="C39" s="3" t="s">
        <v>1409</v>
      </c>
    </row>
    <row r="40" spans="1:3" ht="15" customHeight="1" x14ac:dyDescent="0.35">
      <c r="A40" s="3" t="s">
        <v>1410</v>
      </c>
      <c r="B40" s="3" t="s">
        <v>1411</v>
      </c>
      <c r="C40" s="3" t="s">
        <v>1412</v>
      </c>
    </row>
    <row r="41" spans="1:3" ht="23.25" customHeight="1" x14ac:dyDescent="0.35">
      <c r="A41" s="3" t="s">
        <v>1413</v>
      </c>
      <c r="B41" s="3" t="s">
        <v>1414</v>
      </c>
      <c r="C41" s="3" t="s">
        <v>1415</v>
      </c>
    </row>
    <row r="42" spans="1:3" ht="15" customHeight="1" x14ac:dyDescent="0.35">
      <c r="A42" s="3" t="s">
        <v>1416</v>
      </c>
      <c r="B42" s="3" t="s">
        <v>1417</v>
      </c>
      <c r="C42" s="3" t="s">
        <v>1418</v>
      </c>
    </row>
    <row r="43" spans="1:3" ht="15" customHeight="1" x14ac:dyDescent="0.35">
      <c r="A43" s="3" t="s">
        <v>1419</v>
      </c>
      <c r="B43" s="3" t="s">
        <v>1420</v>
      </c>
      <c r="C43" s="3" t="s">
        <v>1421</v>
      </c>
    </row>
    <row r="44" spans="1:3" ht="23.25" customHeight="1" x14ac:dyDescent="0.35">
      <c r="A44" s="3" t="s">
        <v>1422</v>
      </c>
      <c r="B44" s="3" t="s">
        <v>1423</v>
      </c>
      <c r="C44" s="3" t="s">
        <v>1424</v>
      </c>
    </row>
    <row r="45" spans="1:3" ht="15" customHeight="1" x14ac:dyDescent="0.35">
      <c r="A45" s="3" t="s">
        <v>1425</v>
      </c>
      <c r="B45" s="3" t="s">
        <v>1426</v>
      </c>
      <c r="C45" s="3" t="s">
        <v>1427</v>
      </c>
    </row>
    <row r="46" spans="1:3" ht="15" customHeight="1" x14ac:dyDescent="0.35">
      <c r="A46" s="3" t="s">
        <v>1428</v>
      </c>
      <c r="B46" s="3" t="s">
        <v>1429</v>
      </c>
      <c r="C46" s="3" t="s">
        <v>1430</v>
      </c>
    </row>
    <row r="47" spans="1:3" ht="15" customHeight="1" x14ac:dyDescent="0.35">
      <c r="A47" s="3" t="s">
        <v>1431</v>
      </c>
      <c r="B47" s="3" t="s">
        <v>1432</v>
      </c>
      <c r="C47" s="3" t="s">
        <v>1433</v>
      </c>
    </row>
    <row r="48" spans="1:3" ht="15" customHeight="1" x14ac:dyDescent="0.35">
      <c r="A48" s="3" t="s">
        <v>1434</v>
      </c>
      <c r="B48" s="3" t="s">
        <v>1435</v>
      </c>
      <c r="C48" s="3" t="s">
        <v>1436</v>
      </c>
    </row>
    <row r="49" spans="1:3" ht="23.25" customHeight="1" x14ac:dyDescent="0.35">
      <c r="A49" s="3" t="s">
        <v>1437</v>
      </c>
      <c r="B49" s="3" t="s">
        <v>1437</v>
      </c>
      <c r="C49" s="3" t="s">
        <v>1438</v>
      </c>
    </row>
    <row r="50" spans="1:3" ht="23.25" customHeight="1" x14ac:dyDescent="0.35">
      <c r="A50" s="3" t="s">
        <v>1439</v>
      </c>
      <c r="B50" s="3" t="s">
        <v>1439</v>
      </c>
      <c r="C50" s="3" t="s">
        <v>1440</v>
      </c>
    </row>
    <row r="51" spans="1:3" ht="23.25" customHeight="1" x14ac:dyDescent="0.35">
      <c r="A51" s="3" t="s">
        <v>1441</v>
      </c>
      <c r="B51" s="3" t="s">
        <v>1442</v>
      </c>
      <c r="C51" s="3" t="s">
        <v>1443</v>
      </c>
    </row>
    <row r="52" spans="1:3" ht="15" customHeight="1" x14ac:dyDescent="0.35">
      <c r="A52" s="3" t="s">
        <v>1444</v>
      </c>
      <c r="B52" s="3" t="s">
        <v>1445</v>
      </c>
      <c r="C52" s="3" t="s">
        <v>1446</v>
      </c>
    </row>
    <row r="53" spans="1:3" ht="34.5" customHeight="1" x14ac:dyDescent="0.35">
      <c r="A53" s="3" t="s">
        <v>996</v>
      </c>
      <c r="B53" s="3" t="s">
        <v>996</v>
      </c>
      <c r="C53" s="3" t="s">
        <v>1447</v>
      </c>
    </row>
    <row r="54" spans="1:3" ht="45.75" customHeight="1" x14ac:dyDescent="0.35">
      <c r="A54" s="3" t="s">
        <v>1448</v>
      </c>
      <c r="B54" s="3" t="s">
        <v>1449</v>
      </c>
      <c r="C54" s="3" t="s">
        <v>1450</v>
      </c>
    </row>
    <row r="55" spans="1:3" ht="34.5" customHeight="1" x14ac:dyDescent="0.35">
      <c r="A55" s="3" t="s">
        <v>1451</v>
      </c>
      <c r="B55" s="3" t="s">
        <v>1452</v>
      </c>
      <c r="C55" s="3" t="s">
        <v>1453</v>
      </c>
    </row>
    <row r="56" spans="1:3" ht="34.5" customHeight="1" x14ac:dyDescent="0.35">
      <c r="A56" s="3" t="s">
        <v>1454</v>
      </c>
      <c r="B56" s="3" t="s">
        <v>1455</v>
      </c>
      <c r="C56" s="3" t="s">
        <v>1456</v>
      </c>
    </row>
    <row r="57" spans="1:3" ht="23.25" customHeight="1" x14ac:dyDescent="0.35">
      <c r="A57" s="3" t="s">
        <v>1457</v>
      </c>
      <c r="B57" s="3" t="s">
        <v>1458</v>
      </c>
      <c r="C57" s="3" t="s">
        <v>1459</v>
      </c>
    </row>
    <row r="58" spans="1:3" ht="23.25" customHeight="1" x14ac:dyDescent="0.35">
      <c r="A58" s="3" t="s">
        <v>1460</v>
      </c>
      <c r="B58" s="3" t="s">
        <v>1461</v>
      </c>
      <c r="C58" s="3" t="s">
        <v>1462</v>
      </c>
    </row>
    <row r="59" spans="1:3" ht="23.25" customHeight="1" x14ac:dyDescent="0.35">
      <c r="A59" s="3" t="s">
        <v>1463</v>
      </c>
      <c r="B59" s="3" t="s">
        <v>1464</v>
      </c>
      <c r="C59" s="3" t="s">
        <v>1465</v>
      </c>
    </row>
    <row r="60" spans="1:3" ht="23.25" customHeight="1" x14ac:dyDescent="0.35">
      <c r="A60" s="3" t="s">
        <v>1466</v>
      </c>
      <c r="B60" s="3" t="s">
        <v>1467</v>
      </c>
      <c r="C60" s="3" t="s">
        <v>1468</v>
      </c>
    </row>
    <row r="61" spans="1:3" ht="34.5" customHeight="1" x14ac:dyDescent="0.35">
      <c r="A61" s="3" t="s">
        <v>1469</v>
      </c>
      <c r="B61" s="3" t="s">
        <v>1470</v>
      </c>
      <c r="C61" s="3" t="s">
        <v>1471</v>
      </c>
    </row>
    <row r="62" spans="1:3" ht="34.5" customHeight="1" x14ac:dyDescent="0.35">
      <c r="A62" s="3" t="s">
        <v>1472</v>
      </c>
      <c r="B62" s="3" t="s">
        <v>1473</v>
      </c>
      <c r="C62" s="3" t="s">
        <v>1474</v>
      </c>
    </row>
    <row r="63" spans="1:3" ht="57" customHeight="1" x14ac:dyDescent="0.35">
      <c r="A63" s="3" t="s">
        <v>1475</v>
      </c>
      <c r="B63" s="3" t="s">
        <v>1476</v>
      </c>
      <c r="C63" s="3" t="s">
        <v>1477</v>
      </c>
    </row>
  </sheetData>
  <mergeCells count="1">
    <mergeCell ref="A1:C1"/>
  </mergeCell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6"/>
  <sheetViews>
    <sheetView zoomScaleNormal="100" workbookViewId="0">
      <pane ySplit="3" topLeftCell="A4" activePane="bottomLeft" state="frozen"/>
      <selection pane="bottomLeft"/>
    </sheetView>
  </sheetViews>
  <sheetFormatPr defaultColWidth="8.6328125" defaultRowHeight="14.5" x14ac:dyDescent="0.35"/>
  <cols>
    <col min="1" max="2" width="14" customWidth="1"/>
    <col min="3" max="3" width="22" customWidth="1"/>
    <col min="4" max="4" width="60" customWidth="1"/>
  </cols>
  <sheetData>
    <row r="1" spans="1:4" ht="17.25" customHeight="1" x14ac:dyDescent="0.4">
      <c r="A1" s="42" t="s">
        <v>1478</v>
      </c>
      <c r="B1" s="43"/>
      <c r="C1" s="43"/>
      <c r="D1" s="43"/>
    </row>
    <row r="3" spans="1:4" ht="25.5" customHeight="1" x14ac:dyDescent="0.35">
      <c r="A3" s="12" t="s">
        <v>0</v>
      </c>
      <c r="B3" s="12" t="s">
        <v>1479</v>
      </c>
      <c r="C3" s="12" t="s">
        <v>1480</v>
      </c>
      <c r="D3" s="12" t="s">
        <v>1481</v>
      </c>
    </row>
    <row r="4" spans="1:4" ht="45.75" customHeight="1" x14ac:dyDescent="0.35">
      <c r="A4" s="3" t="s">
        <v>1482</v>
      </c>
      <c r="B4" s="3" t="s">
        <v>6</v>
      </c>
      <c r="C4" s="3" t="s">
        <v>1483</v>
      </c>
      <c r="D4" s="3" t="s">
        <v>1484</v>
      </c>
    </row>
    <row r="5" spans="1:4" ht="90.75" customHeight="1" x14ac:dyDescent="0.35">
      <c r="A5" s="3" t="s">
        <v>1485</v>
      </c>
      <c r="B5" s="14">
        <v>46147</v>
      </c>
      <c r="C5" s="3" t="s">
        <v>1486</v>
      </c>
      <c r="D5" s="3" t="s">
        <v>1487</v>
      </c>
    </row>
    <row r="6" spans="1:4" ht="157.5" customHeight="1" x14ac:dyDescent="0.35">
      <c r="A6" s="3" t="s">
        <v>1488</v>
      </c>
      <c r="B6" s="14">
        <v>46147</v>
      </c>
      <c r="C6" s="3" t="s">
        <v>1489</v>
      </c>
      <c r="D6" s="3" t="s">
        <v>1490</v>
      </c>
    </row>
    <row r="7" spans="1:4" ht="180" customHeight="1" x14ac:dyDescent="0.35">
      <c r="A7" s="3" t="s">
        <v>1491</v>
      </c>
      <c r="B7" s="14">
        <v>46147</v>
      </c>
      <c r="C7" s="3" t="s">
        <v>1492</v>
      </c>
      <c r="D7" s="3" t="s">
        <v>1493</v>
      </c>
    </row>
    <row r="8" spans="1:4" ht="90.75" customHeight="1" x14ac:dyDescent="0.35">
      <c r="A8" s="3" t="s">
        <v>1494</v>
      </c>
      <c r="B8" s="14">
        <v>46147</v>
      </c>
      <c r="C8" s="3" t="s">
        <v>1495</v>
      </c>
      <c r="D8" s="3" t="s">
        <v>1496</v>
      </c>
    </row>
    <row r="9" spans="1:4" ht="124.5" customHeight="1" x14ac:dyDescent="0.35">
      <c r="A9" s="3" t="s">
        <v>1497</v>
      </c>
      <c r="B9" s="14">
        <v>46147</v>
      </c>
      <c r="C9" s="3" t="s">
        <v>1498</v>
      </c>
      <c r="D9" s="3" t="s">
        <v>1499</v>
      </c>
    </row>
    <row r="10" spans="1:4" ht="191.25" customHeight="1" x14ac:dyDescent="0.35">
      <c r="A10" s="3" t="s">
        <v>1500</v>
      </c>
      <c r="B10" s="14">
        <v>46148</v>
      </c>
      <c r="C10" s="3" t="s">
        <v>1501</v>
      </c>
      <c r="D10" s="3" t="s">
        <v>1502</v>
      </c>
    </row>
    <row r="11" spans="1:4" x14ac:dyDescent="0.35">
      <c r="A11" t="s">
        <v>1503</v>
      </c>
      <c r="B11" t="s">
        <v>1504</v>
      </c>
      <c r="C11" t="s">
        <v>1505</v>
      </c>
      <c r="D11" t="s">
        <v>1506</v>
      </c>
    </row>
    <row r="12" spans="1:4" x14ac:dyDescent="0.35">
      <c r="A12" t="s">
        <v>1507</v>
      </c>
      <c r="B12" t="s">
        <v>1504</v>
      </c>
      <c r="C12" t="s">
        <v>1508</v>
      </c>
      <c r="D12" t="s">
        <v>1509</v>
      </c>
    </row>
    <row r="13" spans="1:4" x14ac:dyDescent="0.35">
      <c r="A13" t="s">
        <v>1510</v>
      </c>
      <c r="B13" s="36">
        <v>46148</v>
      </c>
      <c r="C13" t="s">
        <v>1511</v>
      </c>
      <c r="D13" t="s">
        <v>1512</v>
      </c>
    </row>
    <row r="14" spans="1:4" x14ac:dyDescent="0.35">
      <c r="A14" t="s">
        <v>1513</v>
      </c>
      <c r="B14" s="36">
        <v>46148</v>
      </c>
      <c r="C14" t="s">
        <v>1514</v>
      </c>
      <c r="D14" t="s">
        <v>1515</v>
      </c>
    </row>
    <row r="15" spans="1:4" x14ac:dyDescent="0.35">
      <c r="A15" t="s">
        <v>1516</v>
      </c>
      <c r="B15" s="36">
        <v>46148</v>
      </c>
      <c r="C15" t="s">
        <v>1517</v>
      </c>
      <c r="D15" t="s">
        <v>1518</v>
      </c>
    </row>
    <row r="16" spans="1:4" x14ac:dyDescent="0.35">
      <c r="A16" t="s">
        <v>1519</v>
      </c>
      <c r="B16" s="36">
        <v>46148</v>
      </c>
      <c r="C16" t="s">
        <v>1520</v>
      </c>
      <c r="D16" t="s">
        <v>1521</v>
      </c>
    </row>
  </sheetData>
  <mergeCells count="1">
    <mergeCell ref="A1:D1"/>
  </mergeCells>
  <pageMargins left="0.75" right="0.75" top="1" bottom="1" header="0.511811023622047" footer="0.511811023622047"/>
  <pageSetup paperSize="9" orientation="portrait" horizontalDpi="300" verticalDpi="300"/>
  <headerFooter>
    <oddHeader>&amp;R&amp;"Aptos"&amp;10&amp;K000000 Interní / Internal&amp;1#_x000D_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5"/>
  <sheetViews>
    <sheetView workbookViewId="0"/>
  </sheetViews>
  <sheetFormatPr defaultRowHeight="14.5" x14ac:dyDescent="0.35"/>
  <cols>
    <col min="1" max="1" width="80" customWidth="1"/>
    <col min="2" max="5" width="9" customWidth="1"/>
  </cols>
  <sheetData>
    <row r="1" spans="1:5" ht="18.5" x14ac:dyDescent="0.45">
      <c r="A1" s="19" t="s">
        <v>1522</v>
      </c>
    </row>
    <row r="2" spans="1:5" x14ac:dyDescent="0.35">
      <c r="A2" s="20" t="s">
        <v>1523</v>
      </c>
    </row>
    <row r="4" spans="1:5" x14ac:dyDescent="0.35">
      <c r="B4" s="21" t="s">
        <v>1524</v>
      </c>
      <c r="C4" s="21" t="s">
        <v>1525</v>
      </c>
      <c r="D4" s="21" t="s">
        <v>1526</v>
      </c>
      <c r="E4" s="21" t="s">
        <v>1527</v>
      </c>
    </row>
    <row r="5" spans="1:5" x14ac:dyDescent="0.35">
      <c r="A5" s="15" t="s">
        <v>1528</v>
      </c>
      <c r="B5" s="22" t="s">
        <v>68</v>
      </c>
      <c r="C5" s="22" t="s">
        <v>68</v>
      </c>
      <c r="D5" s="23" t="s">
        <v>93</v>
      </c>
      <c r="E5" s="24" t="s">
        <v>367</v>
      </c>
    </row>
    <row r="6" spans="1:5" x14ac:dyDescent="0.35">
      <c r="A6" s="15" t="s">
        <v>1529</v>
      </c>
      <c r="B6" s="22" t="s">
        <v>68</v>
      </c>
      <c r="C6" s="23" t="s">
        <v>93</v>
      </c>
      <c r="D6" s="24" t="s">
        <v>367</v>
      </c>
      <c r="E6" s="25" t="s">
        <v>425</v>
      </c>
    </row>
    <row r="7" spans="1:5" x14ac:dyDescent="0.35">
      <c r="A7" s="15" t="s">
        <v>1530</v>
      </c>
      <c r="B7" s="23" t="s">
        <v>93</v>
      </c>
      <c r="C7" s="24" t="s">
        <v>367</v>
      </c>
      <c r="D7" s="25" t="s">
        <v>425</v>
      </c>
      <c r="E7" s="25" t="s">
        <v>425</v>
      </c>
    </row>
    <row r="8" spans="1:5" x14ac:dyDescent="0.35">
      <c r="A8" s="15" t="s">
        <v>1531</v>
      </c>
      <c r="B8" s="24" t="s">
        <v>367</v>
      </c>
      <c r="C8" s="25" t="s">
        <v>425</v>
      </c>
      <c r="D8" s="25" t="s">
        <v>425</v>
      </c>
      <c r="E8" s="25" t="s">
        <v>425</v>
      </c>
    </row>
    <row r="11" spans="1:5" x14ac:dyDescent="0.35">
      <c r="A11" s="26" t="s">
        <v>1532</v>
      </c>
    </row>
    <row r="12" spans="1:5" x14ac:dyDescent="0.35">
      <c r="A12" t="s">
        <v>1533</v>
      </c>
    </row>
    <row r="13" spans="1:5" x14ac:dyDescent="0.35">
      <c r="A13" t="s">
        <v>1534</v>
      </c>
    </row>
    <row r="14" spans="1:5" x14ac:dyDescent="0.35">
      <c r="A14" t="s">
        <v>1535</v>
      </c>
    </row>
    <row r="15" spans="1:5" x14ac:dyDescent="0.35">
      <c r="A15" t="s">
        <v>1536</v>
      </c>
    </row>
    <row r="16" spans="1:5" x14ac:dyDescent="0.35">
      <c r="A16" t="s">
        <v>1537</v>
      </c>
    </row>
    <row r="17" spans="1:1" x14ac:dyDescent="0.35">
      <c r="A17" t="s">
        <v>1538</v>
      </c>
    </row>
    <row r="19" spans="1:1" x14ac:dyDescent="0.35">
      <c r="A19" s="26" t="s">
        <v>1539</v>
      </c>
    </row>
    <row r="20" spans="1:1" x14ac:dyDescent="0.35">
      <c r="A20" t="s">
        <v>1540</v>
      </c>
    </row>
    <row r="21" spans="1:1" x14ac:dyDescent="0.35">
      <c r="A21" t="s">
        <v>1541</v>
      </c>
    </row>
    <row r="22" spans="1:1" x14ac:dyDescent="0.35">
      <c r="A22" t="s">
        <v>1542</v>
      </c>
    </row>
    <row r="23" spans="1:1" x14ac:dyDescent="0.35">
      <c r="A23" t="s">
        <v>1543</v>
      </c>
    </row>
    <row r="25" spans="1:1" x14ac:dyDescent="0.35">
      <c r="A25" s="27" t="s">
        <v>1544</v>
      </c>
    </row>
  </sheetData>
  <pageMargins left="0.75" right="0.75" top="1" bottom="1" header="0.5" footer="0.5"/>
  <headerFooter>
    <oddHeader>&amp;R&amp;"Aptos"&amp;10&amp;K000000 Interní / Internal&amp;1#_x000D_</oddHeader>
  </headerFooter>
</worksheet>
</file>

<file path=docMetadata/LabelInfo.xml><?xml version="1.0" encoding="utf-8"?>
<clbl:labelList xmlns:clbl="http://schemas.microsoft.com/office/2020/mipLabelMetadata">
  <clbl:label id="{67b881e3-5c8e-4d68-9680-5f17c0d06d2c}" enabled="1" method="Standard" siteId="{82143e86-a286-48f0-886f-106f18e192d9}"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26</vt:i4>
      </vt:variant>
    </vt:vector>
  </HeadingPairs>
  <TitlesOfParts>
    <vt:vector size="26" baseType="lpstr">
      <vt:lpstr>00_README</vt:lpstr>
      <vt:lpstr>00b_Requirements</vt:lpstr>
      <vt:lpstr>00c_VersionSanityRules</vt:lpstr>
      <vt:lpstr>01_TestTargets</vt:lpstr>
      <vt:lpstr>00e_BranchView</vt:lpstr>
      <vt:lpstr>01b_Req_FURPS_Cartesian</vt:lpstr>
      <vt:lpstr>01c_StateMachine</vt:lpstr>
      <vt:lpstr>02_TestCases</vt:lpstr>
      <vt:lpstr>02b_TC_Parameters</vt:lpstr>
      <vt:lpstr>02c_TC_Assertions</vt:lpstr>
      <vt:lpstr>02d_AssertionLibrary</vt:lpstr>
      <vt:lpstr>03_TestData</vt:lpstr>
      <vt:lpstr>05a_TestPlan</vt:lpstr>
      <vt:lpstr>05b_TestSchedule</vt:lpstr>
      <vt:lpstr>05c_TestEstimate</vt:lpstr>
      <vt:lpstr>04_TestEnvironments</vt:lpstr>
      <vt:lpstr>05_TestSets_DEPRECATED</vt:lpstr>
      <vt:lpstr>06_TestRuns</vt:lpstr>
      <vt:lpstr>07_TestRunResults</vt:lpstr>
      <vt:lpstr>13_TestExecutionSummary</vt:lpstr>
      <vt:lpstr>14_AssertionGateResults</vt:lpstr>
      <vt:lpstr>08_Bugs</vt:lpstr>
      <vt:lpstr>09_Reports</vt:lpstr>
      <vt:lpstr>10_Glossary</vt:lpstr>
      <vt:lpstr>11_Changelog</vt:lpstr>
      <vt:lpstr>01d_PrioritySevUrgMatrix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Pankratová Kateřina</cp:lastModifiedBy>
  <cp:revision>0</cp:revision>
  <dcterms:created xsi:type="dcterms:W3CDTF">2026-05-04T22:44:36Z</dcterms:created>
  <dcterms:modified xsi:type="dcterms:W3CDTF">2026-05-11T12:10:37Z</dcterms:modified>
  <dc:language>en-US</dc:language>
</cp:coreProperties>
</file>